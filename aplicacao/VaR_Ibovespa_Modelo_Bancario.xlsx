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RETORNOS_HIST" sheetId="3" state="visible" r:id="rId3"/>
    <sheet xmlns:r="http://schemas.openxmlformats.org/officeDocument/2006/relationships" name="VaR_HISTÓRICO" sheetId="4" state="visible" r:id="rId4"/>
    <sheet xmlns:r="http://schemas.openxmlformats.org/officeDocument/2006/relationships" name="VaR_PARAMÉTRICO" sheetId="5" state="visible" r:id="rId5"/>
    <sheet xmlns:r="http://schemas.openxmlformats.org/officeDocument/2006/relationships" name="EWMA_VOL" sheetId="6" state="visible" r:id="rId6"/>
    <sheet xmlns:r="http://schemas.openxmlformats.org/officeDocument/2006/relationships" name="BACKTESTING" sheetId="7" state="visible" r:id="rId7"/>
    <sheet xmlns:r="http://schemas.openxmlformats.org/officeDocument/2006/relationships" name="STRESS_TEST" sheetId="8" state="visible" r:id="rId8"/>
    <sheet xmlns:r="http://schemas.openxmlformats.org/officeDocument/2006/relationships" name="MONTE_CARLO" sheetId="9" state="visible" r:id="rId9"/>
    <sheet xmlns:r="http://schemas.openxmlformats.org/officeDocument/2006/relationships" name="RESUMO_EXE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R$\ #,##0.00;(R$\ #,##0.00);&quot;-&quot;"/>
    <numFmt numFmtId="165" formatCode="yyyy-mm-dd"/>
    <numFmt numFmtId="166" formatCode="DD/MM/AAAA"/>
    <numFmt numFmtId="167" formatCode="0.0000%"/>
    <numFmt numFmtId="168" formatCode="0.00000000"/>
    <numFmt numFmtId="169" formatCode="0.000"/>
    <numFmt numFmtId="170" formatCode="0.0&quot;x&quot;"/>
    <numFmt numFmtId="171" formatCode="#,##0 &quot;dia(s)&quot;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FFFFFF"/>
      <sz val="13"/>
    </font>
    <font>
      <name val="Arial"/>
      <b val="1"/>
      <color rgb="00000000"/>
      <sz val="11"/>
    </font>
    <font>
      <name val="Arial"/>
      <color rgb="00000000"/>
      <sz val="11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b val="1"/>
      <color rgb="00003366"/>
      <sz val="11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0000FF"/>
      <sz val="11"/>
    </font>
    <font>
      <name val="Arial"/>
      <i val="1"/>
      <color rgb="00595959"/>
      <sz val="9"/>
    </font>
    <font>
      <name val="Arial"/>
      <color rgb="000000FF"/>
      <sz val="9"/>
    </font>
    <font>
      <name val="Arial"/>
      <b val="1"/>
      <color rgb="00FFFFFF"/>
      <sz val="14"/>
    </font>
    <font>
      <name val="Arial"/>
      <color rgb="000000FF"/>
      <sz val="11"/>
    </font>
    <font>
      <name val="Arial"/>
      <color rgb="00595959"/>
      <sz val="11"/>
    </font>
    <font>
      <name val="Arial"/>
      <i val="1"/>
      <color rgb="00404040"/>
      <sz val="10"/>
    </font>
    <font>
      <name val="Arial"/>
      <color rgb="00008000"/>
      <sz val="11"/>
    </font>
    <font>
      <name val="Arial"/>
      <b val="1"/>
      <color rgb="00000000"/>
      <sz val="12"/>
    </font>
    <font>
      <name val="Arial"/>
      <b val="1"/>
      <color rgb="00000000"/>
      <sz val="13"/>
    </font>
    <font>
      <name val="Arial"/>
      <color rgb="000000FF"/>
      <sz val="10"/>
    </font>
    <font>
      <name val="Arial"/>
      <b val="1"/>
      <color rgb="00FFFFFF"/>
      <sz val="18"/>
    </font>
    <font>
      <name val="Arial"/>
      <i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5C99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9E6"/>
      </patternFill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EBF3FB"/>
      </patternFill>
    </fill>
    <fill>
      <patternFill patternType="solid">
        <fgColor rgb="00B05040"/>
      </patternFill>
    </fill>
    <fill>
      <patternFill patternType="solid">
        <fgColor rgb="FFD70040"/>
      </patternFill>
    </fill>
    <fill>
      <patternFill patternType="solid">
        <fgColor rgb="FF000040"/>
      </patternFill>
    </fill>
  </fills>
  <borders count="9">
    <border>
      <left/>
      <right/>
      <top/>
      <bottom/>
      <diagonal/>
    </border>
    <border>
      <left style="medium">
        <color rgb="00FFD700"/>
      </left>
      <righ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rgb="001F5C99"/>
      </left>
      <right style="thin"/>
      <top style="thin"/>
      <bottom style="thin"/>
    </border>
    <border>
      <top style="medium">
        <color rgb="00003366"/>
      </top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0" fillId="5" borderId="0" pivotButton="0" quotePrefix="0" xfId="0"/>
    <xf numFmtId="0" fontId="3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7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3" fillId="7" borderId="2" applyAlignment="1" pivotButton="0" quotePrefix="0" xfId="0">
      <alignment horizontal="left" vertical="center"/>
    </xf>
    <xf numFmtId="10" fontId="10" fillId="7" borderId="2" applyAlignment="1" pivotButton="0" quotePrefix="0" xfId="0">
      <alignment horizontal="right" vertical="center"/>
    </xf>
    <xf numFmtId="0" fontId="0" fillId="7" borderId="2" pivotButton="0" quotePrefix="0" xfId="0"/>
    <xf numFmtId="0" fontId="12" fillId="0" borderId="0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/>
    </xf>
    <xf numFmtId="10" fontId="10" fillId="5" borderId="2" applyAlignment="1" pivotButton="0" quotePrefix="0" xfId="0">
      <alignment horizontal="right" vertical="center"/>
    </xf>
    <xf numFmtId="0" fontId="0" fillId="5" borderId="2" pivotButton="0" quotePrefix="0" xfId="0"/>
    <xf numFmtId="0" fontId="11" fillId="0" borderId="0" applyAlignment="1" pivotButton="0" quotePrefix="0" xfId="0">
      <alignment horizontal="left" vertical="center" wrapText="1"/>
    </xf>
    <xf numFmtId="3" fontId="10" fillId="7" borderId="2" applyAlignment="1" pivotButton="0" quotePrefix="0" xfId="0">
      <alignment horizontal="right" vertical="center"/>
    </xf>
    <xf numFmtId="3" fontId="10" fillId="5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right" vertical="center"/>
    </xf>
    <xf numFmtId="2" fontId="10" fillId="5" borderId="2" applyAlignment="1" pivotButton="0" quotePrefix="0" xfId="0">
      <alignment horizontal="right" vertical="center"/>
    </xf>
    <xf numFmtId="164" fontId="10" fillId="7" borderId="2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4" fontId="14" fillId="5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center" vertical="center"/>
    </xf>
    <xf numFmtId="166" fontId="4" fillId="7" borderId="2" applyAlignment="1" pivotButton="0" quotePrefix="0" xfId="0">
      <alignment horizontal="center" vertical="center"/>
    </xf>
    <xf numFmtId="4" fontId="14" fillId="7" borderId="2" applyAlignment="1" pivotButton="0" quotePrefix="0" xfId="0">
      <alignment horizontal="right" vertical="center"/>
    </xf>
    <xf numFmtId="167" fontId="4" fillId="7" borderId="2" applyAlignment="1" pivotButton="0" quotePrefix="0" xfId="0">
      <alignment horizontal="right" vertical="center"/>
    </xf>
    <xf numFmtId="10" fontId="4" fillId="7" borderId="2" applyAlignment="1" pivotButton="0" quotePrefix="0" xfId="0">
      <alignment horizontal="right" vertical="center"/>
    </xf>
    <xf numFmtId="168" fontId="4" fillId="7" borderId="2" applyAlignment="1" pivotButton="0" quotePrefix="0" xfId="0">
      <alignment horizontal="right" vertical="center"/>
    </xf>
    <xf numFmtId="167" fontId="4" fillId="5" borderId="2" applyAlignment="1" pivotButton="0" quotePrefix="0" xfId="0">
      <alignment horizontal="right" vertical="center"/>
    </xf>
    <xf numFmtId="10" fontId="4" fillId="5" borderId="2" applyAlignment="1" pivotButton="0" quotePrefix="0" xfId="0">
      <alignment horizontal="right" vertical="center"/>
    </xf>
    <xf numFmtId="168" fontId="4" fillId="5" borderId="2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right" vertical="center"/>
    </xf>
    <xf numFmtId="4" fontId="4" fillId="5" borderId="2" applyAlignment="1" pivotButton="0" quotePrefix="0" xfId="0">
      <alignment horizontal="right" vertical="center"/>
    </xf>
    <xf numFmtId="4" fontId="4" fillId="7" borderId="2" applyAlignment="1" pivotButton="0" quotePrefix="0" xfId="0">
      <alignment horizontal="right" vertical="center"/>
    </xf>
    <xf numFmtId="0" fontId="16" fillId="9" borderId="7" applyAlignment="1" pivotButton="0" quotePrefix="0" xfId="0">
      <alignment horizontal="left" vertical="center" wrapText="1"/>
    </xf>
    <xf numFmtId="10" fontId="17" fillId="7" borderId="2" applyAlignment="1" pivotButton="0" quotePrefix="0" xfId="0">
      <alignment horizontal="right" vertical="center"/>
    </xf>
    <xf numFmtId="10" fontId="17" fillId="5" borderId="2" applyAlignment="1" pivotButton="0" quotePrefix="0" xfId="0">
      <alignment horizontal="right" vertical="center"/>
    </xf>
    <xf numFmtId="3" fontId="17" fillId="7" borderId="2" applyAlignment="1" pivotButton="0" quotePrefix="0" xfId="0">
      <alignment horizontal="right" vertical="center"/>
    </xf>
    <xf numFmtId="164" fontId="17" fillId="5" borderId="2" applyAlignment="1" pivotButton="0" quotePrefix="0" xfId="0">
      <alignment horizontal="right" vertical="center"/>
    </xf>
    <xf numFmtId="3" fontId="17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right" vertical="center"/>
    </xf>
    <xf numFmtId="10" fontId="14" fillId="0" borderId="2" applyAlignment="1" pivotButton="0" quotePrefix="0" xfId="0">
      <alignment horizontal="right" vertical="center"/>
    </xf>
    <xf numFmtId="3" fontId="4" fillId="5" borderId="2" applyAlignment="1" pivotButton="0" quotePrefix="0" xfId="0">
      <alignment horizontal="right" vertical="center"/>
    </xf>
    <xf numFmtId="3" fontId="4" fillId="7" borderId="2" applyAlignment="1" pivotButton="0" quotePrefix="0" xfId="0">
      <alignment horizontal="right" vertical="center"/>
    </xf>
    <xf numFmtId="169" fontId="10" fillId="7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169" fontId="10" fillId="5" borderId="2" applyAlignment="1" pivotButton="0" quotePrefix="0" xfId="0">
      <alignment horizontal="right" vertical="center"/>
    </xf>
    <xf numFmtId="169" fontId="4" fillId="5" borderId="2" applyAlignment="1" pivotButton="0" quotePrefix="0" xfId="0">
      <alignment horizontal="right" vertical="center"/>
    </xf>
    <xf numFmtId="169" fontId="4" fillId="7" borderId="2" applyAlignment="1" pivotButton="0" quotePrefix="0" xfId="0">
      <alignment horizontal="right" vertical="center"/>
    </xf>
    <xf numFmtId="167" fontId="17" fillId="5" borderId="2" applyAlignment="1" pivotButton="0" quotePrefix="0" xfId="0">
      <alignment horizontal="right" vertical="center"/>
    </xf>
    <xf numFmtId="167" fontId="17" fillId="7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right" vertical="center"/>
    </xf>
    <xf numFmtId="0" fontId="3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0" fontId="3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0" fontId="14" fillId="7" borderId="2" applyAlignment="1" pivotButton="0" quotePrefix="0" xfId="0">
      <alignment horizontal="right" vertical="center"/>
    </xf>
    <xf numFmtId="3" fontId="14" fillId="7" borderId="2" applyAlignment="1" pivotButton="0" quotePrefix="0" xfId="0">
      <alignment horizontal="right" vertical="center"/>
    </xf>
    <xf numFmtId="10" fontId="14" fillId="5" borderId="2" applyAlignment="1" pivotButton="0" quotePrefix="0" xfId="0">
      <alignment horizontal="right" vertical="center"/>
    </xf>
    <xf numFmtId="3" fontId="14" fillId="5" borderId="2" applyAlignment="1" pivotButton="0" quotePrefix="0" xfId="0">
      <alignment horizontal="right" vertical="center"/>
    </xf>
    <xf numFmtId="170" fontId="4" fillId="5" borderId="2" applyAlignment="1" pivotButton="0" quotePrefix="0" xfId="0">
      <alignment horizontal="right" vertical="center"/>
    </xf>
    <xf numFmtId="170" fontId="4" fillId="7" borderId="2" applyAlignment="1" pivotButton="0" quotePrefix="0" xfId="0">
      <alignment horizontal="right" vertical="center"/>
    </xf>
    <xf numFmtId="169" fontId="14" fillId="0" borderId="2" applyAlignment="1" pivotButton="0" quotePrefix="0" xfId="0">
      <alignment horizontal="right" vertical="center"/>
    </xf>
    <xf numFmtId="0" fontId="16" fillId="9" borderId="7" applyAlignment="1" pivotButton="0" quotePrefix="0" xfId="0">
      <alignment horizontal="left" vertical="top" wrapText="1"/>
    </xf>
    <xf numFmtId="171" fontId="10" fillId="5" borderId="2" applyAlignment="1" pivotButton="0" quotePrefix="0" xfId="0">
      <alignment horizontal="right" vertical="center"/>
    </xf>
    <xf numFmtId="0" fontId="9" fillId="3" borderId="0" pivotButton="0" quotePrefix="0" xfId="0"/>
    <xf numFmtId="3" fontId="0" fillId="5" borderId="2" applyAlignment="1" pivotButton="0" quotePrefix="0" xfId="0">
      <alignment horizontal="center" vertical="center"/>
    </xf>
    <xf numFmtId="167" fontId="20" fillId="5" borderId="2" applyAlignment="1" pivotButton="0" quotePrefix="0" xfId="0">
      <alignment horizontal="right" vertical="center"/>
    </xf>
    <xf numFmtId="3" fontId="0" fillId="7" borderId="2" applyAlignment="1" pivotButton="0" quotePrefix="0" xfId="0">
      <alignment horizontal="center" vertical="center"/>
    </xf>
    <xf numFmtId="167" fontId="20" fillId="7" borderId="2" applyAlignment="1" pivotButton="0" quotePrefix="0" xfId="0">
      <alignment horizontal="right" vertical="center"/>
    </xf>
    <xf numFmtId="0" fontId="2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17" fillId="7" borderId="2" applyAlignment="1" pivotButton="0" quotePrefix="0" xfId="0">
      <alignment horizontal="right" vertical="center"/>
    </xf>
    <xf numFmtId="0" fontId="17" fillId="5" borderId="2" applyAlignment="1" pivotButton="0" quotePrefix="0" xfId="0">
      <alignment horizontal="right" vertical="center"/>
    </xf>
    <xf numFmtId="164" fontId="17" fillId="7" borderId="2" applyAlignment="1" pivotButton="0" quotePrefix="0" xfId="0">
      <alignment horizontal="right" vertical="center"/>
    </xf>
    <xf numFmtId="4" fontId="17" fillId="7" borderId="2" applyAlignment="1" pivotButton="0" quotePrefix="0" xfId="0">
      <alignment horizontal="right" vertical="center"/>
    </xf>
    <xf numFmtId="4" fontId="17" fillId="5" borderId="2" applyAlignment="1" pivotButton="0" quotePrefix="0" xfId="0">
      <alignment horizontal="right" vertical="center"/>
    </xf>
    <xf numFmtId="0" fontId="9" fillId="2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0" fontId="11" fillId="4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" customWidth="1" min="3" max="3"/>
    <col width="55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55" customHeight="1">
      <c r="A1" s="1" t="inlineStr">
        <is>
          <t>MODELO DE VALUE AT RISK – IBOVESPA</t>
        </is>
      </c>
    </row>
    <row r="2" ht="28" customHeight="1">
      <c r="A2" s="2" t="inlineStr">
        <is>
          <t>Risco de Mercado | Tesouraria &amp; Gestão de Ativos</t>
        </is>
      </c>
    </row>
    <row r="4" ht="22" customHeight="1">
      <c r="A4" s="3" t="n"/>
      <c r="B4" s="4" t="inlineStr">
        <is>
          <t>Versão do Modelo:</t>
        </is>
      </c>
      <c r="C4" s="3" t="n"/>
      <c r="D4" s="5" t="inlineStr">
        <is>
          <t>2.1</t>
        </is>
      </c>
      <c r="E4" s="3" t="n"/>
      <c r="F4" s="3" t="n"/>
      <c r="G4" s="3" t="n"/>
      <c r="H4" s="3" t="n"/>
    </row>
    <row r="5" ht="22" customHeight="1">
      <c r="A5" s="6" t="n"/>
      <c r="B5" s="7" t="inlineStr">
        <is>
          <t>Data de Referência:</t>
        </is>
      </c>
      <c r="C5" s="6" t="n"/>
      <c r="D5" s="8" t="inlineStr">
        <is>
          <t>03/06/2026</t>
        </is>
      </c>
      <c r="E5" s="6" t="n"/>
      <c r="F5" s="6" t="n"/>
      <c r="G5" s="6" t="n"/>
      <c r="H5" s="6" t="n"/>
    </row>
    <row r="6" ht="22" customHeight="1">
      <c r="A6" s="3" t="n"/>
      <c r="B6" s="4" t="inlineStr">
        <is>
          <t>Área Responsável:</t>
        </is>
      </c>
      <c r="C6" s="3" t="n"/>
      <c r="D6" s="5" t="inlineStr">
        <is>
          <t>Risco de Mercado – Tesouraria</t>
        </is>
      </c>
      <c r="E6" s="3" t="n"/>
      <c r="F6" s="3" t="n"/>
      <c r="G6" s="3" t="n"/>
      <c r="H6" s="3" t="n"/>
    </row>
    <row r="7" ht="22" customHeight="1">
      <c r="A7" s="6" t="n"/>
      <c r="B7" s="7" t="inlineStr">
        <is>
          <t>Elaborado por:</t>
        </is>
      </c>
      <c r="C7" s="6" t="n"/>
      <c r="D7" s="8" t="inlineStr">
        <is>
          <t>Equipe de Modelagem Quantitativa</t>
        </is>
      </c>
      <c r="E7" s="6" t="n"/>
      <c r="F7" s="6" t="n"/>
      <c r="G7" s="6" t="n"/>
      <c r="H7" s="6" t="n"/>
    </row>
    <row r="8" ht="22" customHeight="1">
      <c r="A8" s="3" t="n"/>
      <c r="B8" s="4" t="inlineStr">
        <is>
          <t>Revisado por:</t>
        </is>
      </c>
      <c r="C8" s="3" t="n"/>
      <c r="D8" s="5" t="inlineStr">
        <is>
          <t>Gerência de Risco de Mercado</t>
        </is>
      </c>
      <c r="E8" s="3" t="n"/>
      <c r="F8" s="3" t="n"/>
      <c r="G8" s="3" t="n"/>
      <c r="H8" s="3" t="n"/>
    </row>
    <row r="9" ht="22" customHeight="1">
      <c r="A9" s="6" t="n"/>
      <c r="B9" s="7" t="inlineStr">
        <is>
          <t>Aprovado por:</t>
        </is>
      </c>
      <c r="C9" s="6" t="n"/>
      <c r="D9" s="8" t="inlineStr">
        <is>
          <t>Diretoria de Risco</t>
        </is>
      </c>
      <c r="E9" s="6" t="n"/>
      <c r="F9" s="6" t="n"/>
      <c r="G9" s="6" t="n"/>
      <c r="H9" s="6" t="n"/>
    </row>
    <row r="10" ht="22" customHeight="1">
      <c r="A10" s="3" t="n"/>
      <c r="B10" s="4" t="inlineStr">
        <is>
          <t>Próxima Revisão:</t>
        </is>
      </c>
      <c r="C10" s="3" t="n"/>
      <c r="D10" s="5" t="inlineStr">
        <is>
          <t>03/12/2026</t>
        </is>
      </c>
      <c r="E10" s="3" t="n"/>
      <c r="F10" s="3" t="n"/>
      <c r="G10" s="3" t="n"/>
      <c r="H10" s="3" t="n"/>
    </row>
    <row r="11" ht="22" customHeight="1">
      <c r="A11" s="6" t="n"/>
      <c r="B11" s="7" t="inlineStr">
        <is>
          <t>Status:</t>
        </is>
      </c>
      <c r="C11" s="6" t="n"/>
      <c r="D11" s="8" t="inlineStr">
        <is>
          <t>ATIVO</t>
        </is>
      </c>
      <c r="E11" s="6" t="n"/>
      <c r="F11" s="6" t="n"/>
      <c r="G11" s="6" t="n"/>
      <c r="H11" s="6" t="n"/>
    </row>
    <row r="13" ht="18" customHeight="1">
      <c r="B13" s="9" t="inlineStr">
        <is>
          <t>AVISO LEGAL: Este modelo é de uso exclusivo interno. Os resultados apresentados são estimativas estatísticas baseadas em dados históricos e não constituem garantia de resultados futuros. O uso inadequado deste modelo para fins regulatórios sem validação prévia pela área de Risco é vedado. Modelos de VaR possuem limitações inerentes e devem ser complementados por testes de estresse e análises de sensibilidade.</t>
        </is>
      </c>
    </row>
    <row r="14" ht="18" customHeight="1"/>
    <row r="15" ht="18" customHeight="1"/>
    <row r="16" ht="18" customHeight="1"/>
    <row r="18">
      <c r="B18" s="10" t="inlineStr">
        <is>
          <t>ÍNDICE DE ABAS</t>
        </is>
      </c>
    </row>
    <row r="19" ht="20" customHeight="1">
      <c r="B19" s="11" t="inlineStr">
        <is>
          <t>CAPA</t>
        </is>
      </c>
      <c r="D19" s="12" t="inlineStr">
        <is>
          <t>Identificação e controle do modelo</t>
        </is>
      </c>
      <c r="E19" s="13" t="n"/>
      <c r="F19" s="13" t="n"/>
      <c r="G19" s="13" t="n"/>
      <c r="H19" s="14" t="n"/>
    </row>
    <row r="20" ht="20" customHeight="1">
      <c r="B20" s="15" t="inlineStr">
        <is>
          <t>PARÂMETROS</t>
        </is>
      </c>
      <c r="D20" s="16" t="inlineStr">
        <is>
          <t>Parâmetros globais e premissas do modelo</t>
        </is>
      </c>
      <c r="E20" s="13" t="n"/>
      <c r="F20" s="13" t="n"/>
      <c r="G20" s="13" t="n"/>
      <c r="H20" s="14" t="n"/>
    </row>
    <row r="21" ht="20" customHeight="1">
      <c r="B21" s="11" t="inlineStr">
        <is>
          <t>RETORNOS_HIST</t>
        </is>
      </c>
      <c r="D21" s="12" t="inlineStr">
        <is>
          <t>Série histórica de preços e retornos do Ibovespa</t>
        </is>
      </c>
      <c r="E21" s="13" t="n"/>
      <c r="F21" s="13" t="n"/>
      <c r="G21" s="13" t="n"/>
      <c r="H21" s="14" t="n"/>
    </row>
    <row r="22" ht="20" customHeight="1">
      <c r="B22" s="15" t="inlineStr">
        <is>
          <t>VaR_HISTÓRICO</t>
        </is>
      </c>
      <c r="D22" s="16" t="inlineStr">
        <is>
          <t>VaR pelo método de simulação histórica</t>
        </is>
      </c>
      <c r="E22" s="13" t="n"/>
      <c r="F22" s="13" t="n"/>
      <c r="G22" s="13" t="n"/>
      <c r="H22" s="14" t="n"/>
    </row>
    <row r="23" ht="20" customHeight="1">
      <c r="B23" s="11" t="inlineStr">
        <is>
          <t>VaR_PARAMÉTRICO</t>
        </is>
      </c>
      <c r="D23" s="12" t="inlineStr">
        <is>
          <t>VaR delta-normal (média e desvio padrão)</t>
        </is>
      </c>
      <c r="E23" s="13" t="n"/>
      <c r="F23" s="13" t="n"/>
      <c r="G23" s="13" t="n"/>
      <c r="H23" s="14" t="n"/>
    </row>
    <row r="24" ht="20" customHeight="1">
      <c r="B24" s="15" t="inlineStr">
        <is>
          <t>EWMA_VOL</t>
        </is>
      </c>
      <c r="D24" s="16" t="inlineStr">
        <is>
          <t>Volatilidade EWMA – RiskMetrics (λ=0,94)</t>
        </is>
      </c>
      <c r="E24" s="13" t="n"/>
      <c r="F24" s="13" t="n"/>
      <c r="G24" s="13" t="n"/>
      <c r="H24" s="14" t="n"/>
    </row>
    <row r="25" ht="20" customHeight="1">
      <c r="B25" s="11" t="inlineStr">
        <is>
          <t>BACKTESTING</t>
        </is>
      </c>
      <c r="D25" s="12" t="inlineStr">
        <is>
          <t>Backtesting e semáforo de Basileia</t>
        </is>
      </c>
      <c r="E25" s="13" t="n"/>
      <c r="F25" s="13" t="n"/>
      <c r="G25" s="13" t="n"/>
      <c r="H25" s="14" t="n"/>
    </row>
    <row r="26" ht="20" customHeight="1">
      <c r="B26" s="15" t="inlineStr">
        <is>
          <t>STRESS_TEST</t>
        </is>
      </c>
      <c r="D26" s="16" t="inlineStr">
        <is>
          <t>Cenários de estresse históricos e hipotéticos</t>
        </is>
      </c>
      <c r="E26" s="13" t="n"/>
      <c r="F26" s="13" t="n"/>
      <c r="G26" s="13" t="n"/>
      <c r="H26" s="14" t="n"/>
    </row>
    <row r="27" ht="20" customHeight="1">
      <c r="B27" s="11" t="inlineStr">
        <is>
          <t>MONTE_CARLO</t>
        </is>
      </c>
      <c r="D27" s="12" t="inlineStr">
        <is>
          <t>Simulação Monte Carlo (1 000 cenários)</t>
        </is>
      </c>
      <c r="E27" s="13" t="n"/>
      <c r="F27" s="13" t="n"/>
      <c r="G27" s="13" t="n"/>
      <c r="H27" s="14" t="n"/>
    </row>
    <row r="28" ht="20" customHeight="1">
      <c r="B28" s="15" t="inlineStr">
        <is>
          <t>RESUMO_EXEC</t>
        </is>
      </c>
      <c r="D28" s="16" t="inlineStr">
        <is>
          <t>Dashboard executivo – consolidação dos VaRs</t>
        </is>
      </c>
      <c r="E28" s="13" t="n"/>
      <c r="F28" s="13" t="n"/>
      <c r="G28" s="13" t="n"/>
      <c r="H28" s="14" t="n"/>
    </row>
  </sheetData>
  <mergeCells count="14">
    <mergeCell ref="D21:H21"/>
    <mergeCell ref="D25:H25"/>
    <mergeCell ref="D20:H20"/>
    <mergeCell ref="B18:H18"/>
    <mergeCell ref="B13:H16"/>
    <mergeCell ref="D24:H24"/>
    <mergeCell ref="A2:H2"/>
    <mergeCell ref="D19:H19"/>
    <mergeCell ref="D28:H28"/>
    <mergeCell ref="D27:H27"/>
    <mergeCell ref="D23:H23"/>
    <mergeCell ref="A1:H1"/>
    <mergeCell ref="D22:H22"/>
    <mergeCell ref="D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5C99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5" customWidth="1" min="4" max="4"/>
    <col width="18" customWidth="1" min="5" max="5"/>
    <col width="45" customWidth="1" min="6" max="6"/>
  </cols>
  <sheetData>
    <row r="1" ht="40" customHeight="1">
      <c r="A1" s="17" t="inlineStr">
        <is>
          <t>PARÂMETROS DO MODELO DE VaR</t>
        </is>
      </c>
    </row>
    <row r="2" ht="22" customHeight="1">
      <c r="A2" s="18" t="inlineStr">
        <is>
          <t>PARÂMETRO</t>
        </is>
      </c>
      <c r="B2" s="18" t="inlineStr">
        <is>
          <t>VALOR</t>
        </is>
      </c>
      <c r="C2" s="18" t="inlineStr">
        <is>
          <t>UNIDADE</t>
        </is>
      </c>
      <c r="D2" s="18" t="inlineStr"/>
      <c r="E2" s="18" t="inlineStr"/>
      <c r="F2" s="18" t="inlineStr">
        <is>
          <t>OBSERVAÇÃO</t>
        </is>
      </c>
    </row>
    <row r="3" ht="22" customHeight="1">
      <c r="A3" s="19" t="inlineStr">
        <is>
          <t>1. NÍVEL DE CONFIANÇA</t>
        </is>
      </c>
    </row>
    <row r="4" ht="20" customHeight="1">
      <c r="A4" s="20" t="inlineStr">
        <is>
          <t>Nível de Confiança Principal</t>
        </is>
      </c>
      <c r="B4" s="21" t="n">
        <v>0.99</v>
      </c>
      <c r="C4" s="16" t="inlineStr"/>
      <c r="D4" s="22" t="n"/>
      <c r="E4" s="22" t="n"/>
      <c r="F4" s="23" t="inlineStr">
        <is>
          <t>conf_99</t>
        </is>
      </c>
    </row>
    <row r="5" ht="20" customHeight="1">
      <c r="A5" s="24" t="inlineStr">
        <is>
          <t>Nível de Confiança Secundário</t>
        </is>
      </c>
      <c r="B5" s="25" t="n">
        <v>0.95</v>
      </c>
      <c r="C5" s="12" t="inlineStr"/>
      <c r="D5" s="26" t="n"/>
      <c r="E5" s="26" t="n"/>
      <c r="F5" s="23" t="inlineStr">
        <is>
          <t>conf_95</t>
        </is>
      </c>
    </row>
    <row r="6" ht="20" customHeight="1">
      <c r="A6" s="20" t="inlineStr">
        <is>
          <t>Nível de Confiança Expected Shortfall</t>
        </is>
      </c>
      <c r="B6" s="21" t="n">
        <v>0.975</v>
      </c>
      <c r="C6" s="16" t="inlineStr"/>
      <c r="D6" s="22" t="n"/>
      <c r="E6" s="22" t="n"/>
      <c r="F6" s="27" t="inlineStr">
        <is>
          <t>CVaR interno</t>
        </is>
      </c>
    </row>
    <row r="7" ht="22" customHeight="1">
      <c r="A7" s="19" t="inlineStr">
        <is>
          <t>2. HORIZONTE TEMPORAL</t>
        </is>
      </c>
    </row>
    <row r="8" ht="20" customHeight="1">
      <c r="A8" s="20" t="inlineStr">
        <is>
          <t>Horizonte Principal (dias úteis)</t>
        </is>
      </c>
      <c r="B8" s="28" t="n">
        <v>1</v>
      </c>
      <c r="C8" s="16" t="inlineStr">
        <is>
          <t>dia(s)</t>
        </is>
      </c>
      <c r="D8" s="22" t="n"/>
      <c r="E8" s="22" t="n"/>
      <c r="F8" s="23" t="inlineStr">
        <is>
          <t>horiz_1d</t>
        </is>
      </c>
    </row>
    <row r="9" ht="20" customHeight="1">
      <c r="A9" s="24" t="inlineStr">
        <is>
          <t>Horizonte Regulatório</t>
        </is>
      </c>
      <c r="B9" s="29" t="n">
        <v>10</v>
      </c>
      <c r="C9" s="12" t="inlineStr">
        <is>
          <t>dias</t>
        </is>
      </c>
      <c r="D9" s="26" t="n"/>
      <c r="E9" s="26" t="n"/>
      <c r="F9" s="23" t="inlineStr">
        <is>
          <t>horiz_10d</t>
        </is>
      </c>
    </row>
    <row r="10" ht="20" customHeight="1">
      <c r="A10" s="20" t="inlineStr">
        <is>
          <t>Dias Úteis por Ano</t>
        </is>
      </c>
      <c r="B10" s="28" t="n">
        <v>252</v>
      </c>
      <c r="C10" s="16" t="inlineStr">
        <is>
          <t>dias</t>
        </is>
      </c>
      <c r="D10" s="22" t="n"/>
      <c r="E10" s="22" t="n"/>
      <c r="F10" s="27" t="inlineStr">
        <is>
          <t>Convenção mercado brasileiro</t>
        </is>
      </c>
    </row>
    <row r="11" ht="22" customHeight="1">
      <c r="A11" s="19" t="inlineStr">
        <is>
          <t>3. JANELA HISTÓRICA</t>
        </is>
      </c>
    </row>
    <row r="12" ht="20" customHeight="1">
      <c r="A12" s="20" t="inlineStr">
        <is>
          <t>Janela Curta (dias úteis)</t>
        </is>
      </c>
      <c r="B12" s="28" t="n">
        <v>252</v>
      </c>
      <c r="C12" s="16" t="inlineStr">
        <is>
          <t>dias</t>
        </is>
      </c>
      <c r="D12" s="22" t="n"/>
      <c r="E12" s="22" t="n"/>
      <c r="F12" s="23" t="inlineStr">
        <is>
          <t>jan_curta</t>
        </is>
      </c>
    </row>
    <row r="13" ht="20" customHeight="1">
      <c r="A13" s="24" t="inlineStr">
        <is>
          <t>Janela Longa (dias úteis)</t>
        </is>
      </c>
      <c r="B13" s="29" t="n">
        <v>500</v>
      </c>
      <c r="C13" s="12" t="inlineStr">
        <is>
          <t>dias</t>
        </is>
      </c>
      <c r="D13" s="26" t="n"/>
      <c r="E13" s="26" t="n"/>
      <c r="F13" s="27" t="inlineStr">
        <is>
          <t>~2 anos – backtesting regulatório</t>
        </is>
      </c>
    </row>
    <row r="14" ht="20" customHeight="1">
      <c r="A14" s="20" t="inlineStr">
        <is>
          <t>Janela de Backtesting</t>
        </is>
      </c>
      <c r="B14" s="28" t="n">
        <v>250</v>
      </c>
      <c r="C14" s="16" t="inlineStr">
        <is>
          <t>dias</t>
        </is>
      </c>
      <c r="D14" s="22" t="n"/>
      <c r="E14" s="22" t="n"/>
      <c r="F14" s="27" t="inlineStr">
        <is>
          <t>Basileia – 250 dias úteis</t>
        </is>
      </c>
    </row>
    <row r="15" ht="22" customHeight="1">
      <c r="A15" s="19" t="inlineStr">
        <is>
          <t>4. METODOLOGIAS</t>
        </is>
      </c>
    </row>
    <row r="16" ht="20" customHeight="1">
      <c r="A16" s="20" t="inlineStr">
        <is>
          <t>Método 1</t>
        </is>
      </c>
      <c r="B16" s="30" t="inlineStr">
        <is>
          <t>Histórico</t>
        </is>
      </c>
      <c r="C16" s="16" t="inlineStr"/>
      <c r="D16" s="22" t="n"/>
      <c r="E16" s="22" t="n"/>
      <c r="F16" s="27" t="inlineStr">
        <is>
          <t>Distribuição empírica dos retornos</t>
        </is>
      </c>
    </row>
    <row r="17" ht="20" customHeight="1">
      <c r="A17" s="24" t="inlineStr">
        <is>
          <t>Método 2</t>
        </is>
      </c>
      <c r="B17" s="31" t="inlineStr">
        <is>
          <t>Paramétrico</t>
        </is>
      </c>
      <c r="C17" s="12" t="inlineStr"/>
      <c r="D17" s="26" t="n"/>
      <c r="E17" s="26" t="n"/>
      <c r="F17" s="27" t="inlineStr">
        <is>
          <t>Delta-Normal – assume distribuição normal</t>
        </is>
      </c>
    </row>
    <row r="18" ht="20" customHeight="1">
      <c r="A18" s="20" t="inlineStr">
        <is>
          <t>Método 3</t>
        </is>
      </c>
      <c r="B18" s="30" t="inlineStr">
        <is>
          <t>Monte Carlo</t>
        </is>
      </c>
      <c r="C18" s="16" t="inlineStr"/>
      <c r="D18" s="22" t="n"/>
      <c r="E18" s="22" t="n"/>
      <c r="F18" s="27" t="inlineStr">
        <is>
          <t>Simulação com 1 000 cenários</t>
        </is>
      </c>
    </row>
    <row r="19" ht="20" customHeight="1">
      <c r="A19" s="24" t="inlineStr">
        <is>
          <t>Método 4</t>
        </is>
      </c>
      <c r="B19" s="31" t="inlineStr">
        <is>
          <t>EWMA</t>
        </is>
      </c>
      <c r="C19" s="12" t="inlineStr"/>
      <c r="D19" s="26" t="n"/>
      <c r="E19" s="26" t="n"/>
      <c r="F19" s="27" t="inlineStr">
        <is>
          <t>RiskMetrics – volatilidade com memória exponencial</t>
        </is>
      </c>
    </row>
    <row r="20" ht="22" customHeight="1">
      <c r="A20" s="19" t="inlineStr">
        <is>
          <t>5. PARÂMETROS EWMA</t>
        </is>
      </c>
    </row>
    <row r="21" ht="20" customHeight="1">
      <c r="A21" s="24" t="inlineStr">
        <is>
          <t>Fator de Decaimento (λ)</t>
        </is>
      </c>
      <c r="B21" s="32" t="n">
        <v>0.9399999999999999</v>
      </c>
      <c r="C21" s="12" t="inlineStr"/>
      <c r="D21" s="26" t="n"/>
      <c r="E21" s="26" t="n"/>
      <c r="F21" s="23" t="inlineStr">
        <is>
          <t>lambda_ewma</t>
        </is>
      </c>
    </row>
    <row r="22" ht="20" customHeight="1">
      <c r="A22" s="20" t="inlineStr">
        <is>
          <t>Half-life (dias)</t>
        </is>
      </c>
      <c r="B22" s="28" t="n">
        <v>11</v>
      </c>
      <c r="C22" s="16" t="inlineStr">
        <is>
          <t>dias</t>
        </is>
      </c>
      <c r="D22" s="22" t="n"/>
      <c r="E22" s="22" t="n"/>
      <c r="F22" s="27" t="inlineStr">
        <is>
          <t>ln(0.5)/ln(λ) ≈ 11 dias para λ=0,94</t>
        </is>
      </c>
    </row>
    <row r="23" ht="22" customHeight="1">
      <c r="A23" s="19" t="inlineStr">
        <is>
          <t>6. POSIÇÃO / NOCIONAL</t>
        </is>
      </c>
    </row>
    <row r="24" ht="20" customHeight="1">
      <c r="A24" s="20" t="inlineStr">
        <is>
          <t>Valor Nocional da Posição</t>
        </is>
      </c>
      <c r="B24" s="33" t="n">
        <v>10000000</v>
      </c>
      <c r="C24" s="16" t="inlineStr">
        <is>
          <t>BRL</t>
        </is>
      </c>
      <c r="D24" s="22" t="n"/>
      <c r="E24" s="22" t="n"/>
      <c r="F24" s="23" t="inlineStr">
        <is>
          <t>nocional</t>
        </is>
      </c>
    </row>
    <row r="25" ht="20" customHeight="1">
      <c r="A25" s="24" t="inlineStr">
        <is>
          <t>Moeda</t>
        </is>
      </c>
      <c r="B25" s="31" t="inlineStr">
        <is>
          <t>BRL</t>
        </is>
      </c>
      <c r="C25" s="12" t="inlineStr"/>
      <c r="D25" s="26" t="n"/>
      <c r="E25" s="26" t="n"/>
      <c r="F25" s="27" t="inlineStr">
        <is>
          <t>Real Brasileiro</t>
        </is>
      </c>
    </row>
    <row r="26" ht="20" customHeight="1">
      <c r="A26" s="20" t="inlineStr">
        <is>
          <t>Índice de Referência</t>
        </is>
      </c>
      <c r="B26" s="30" t="inlineStr">
        <is>
          <t>Ibovespa</t>
        </is>
      </c>
      <c r="C26" s="16" t="inlineStr"/>
      <c r="D26" s="22" t="n"/>
      <c r="E26" s="22" t="n"/>
      <c r="F26" s="27" t="inlineStr">
        <is>
          <t>B3 – Bolsa Brasil Balcão</t>
        </is>
      </c>
    </row>
    <row r="27" ht="22" customHeight="1">
      <c r="A27" s="19" t="inlineStr">
        <is>
          <t>7. LIMITES REGULATÓRIOS (BACKTESTING)</t>
        </is>
      </c>
    </row>
    <row r="28" ht="20" customHeight="1">
      <c r="A28" s="20" t="inlineStr">
        <is>
          <t>Zona Verde – máx. exceções</t>
        </is>
      </c>
      <c r="B28" s="28" t="n">
        <v>4</v>
      </c>
      <c r="C28" s="16" t="inlineStr">
        <is>
          <t>exceções/250d</t>
        </is>
      </c>
      <c r="D28" s="22" t="n"/>
      <c r="E28" s="22" t="n"/>
      <c r="F28" s="27" t="inlineStr">
        <is>
          <t>Basileia – fator multiplicador = 3</t>
        </is>
      </c>
    </row>
    <row r="29" ht="20" customHeight="1">
      <c r="A29" s="24" t="inlineStr">
        <is>
          <t>Zona Amarela – máx. exceções</t>
        </is>
      </c>
      <c r="B29" s="29" t="n">
        <v>9</v>
      </c>
      <c r="C29" s="12" t="inlineStr">
        <is>
          <t>exceções/250d</t>
        </is>
      </c>
      <c r="D29" s="26" t="n"/>
      <c r="E29" s="26" t="n"/>
      <c r="F29" s="27" t="inlineStr">
        <is>
          <t>Basileia – fator multiplicador = 3+</t>
        </is>
      </c>
    </row>
    <row r="30" ht="20" customHeight="1">
      <c r="A30" s="20" t="inlineStr">
        <is>
          <t>Zona Vermelha – mín. exceções</t>
        </is>
      </c>
      <c r="B30" s="28" t="n">
        <v>10</v>
      </c>
      <c r="C30" s="16" t="inlineStr">
        <is>
          <t>exceções/250d</t>
        </is>
      </c>
      <c r="D30" s="22" t="n"/>
      <c r="E30" s="22" t="n"/>
      <c r="F30" s="27" t="inlineStr">
        <is>
          <t>Basileia – modelo rejeitado</t>
        </is>
      </c>
    </row>
  </sheetData>
  <mergeCells count="8">
    <mergeCell ref="A11:F11"/>
    <mergeCell ref="A1:F1"/>
    <mergeCell ref="A23:F23"/>
    <mergeCell ref="A27:F27"/>
    <mergeCell ref="A3:F3"/>
    <mergeCell ref="A20:F20"/>
    <mergeCell ref="A15:F15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04040"/>
    <outlinePr summaryBelow="1" summaryRight="1"/>
    <pageSetUpPr/>
  </sheetPr>
  <dimension ref="A1:F5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3" customWidth="1" min="4" max="4"/>
    <col width="18" customWidth="1" min="5" max="5"/>
    <col width="30" customWidth="1" min="6" max="6"/>
  </cols>
  <sheetData>
    <row r="1" ht="35" customHeight="1">
      <c r="A1" s="34" t="inlineStr">
        <is>
          <t>SÉRIE HISTÓRICA DE RETORNOS – IBOVESPA (Jan/2022 – Dez/2023)</t>
        </is>
      </c>
    </row>
    <row r="2" ht="22" customHeight="1">
      <c r="A2" s="18" t="inlineStr">
        <is>
          <t>DATA</t>
        </is>
      </c>
      <c r="B2" s="18" t="inlineStr">
        <is>
          <t>IBOVESPA (pts)</t>
        </is>
      </c>
      <c r="C2" s="18" t="inlineStr">
        <is>
          <t>RETORNO LOG</t>
        </is>
      </c>
      <c r="D2" s="18" t="inlineStr">
        <is>
          <t>RETORNO (%)</t>
        </is>
      </c>
      <c r="E2" s="18" t="inlineStr">
        <is>
          <t>RET² (EWMA input)</t>
        </is>
      </c>
      <c r="F2" s="18" t="inlineStr">
        <is>
          <t>OBSERVAÇÃO</t>
        </is>
      </c>
    </row>
    <row r="3" ht="16" customHeight="1">
      <c r="A3" s="35" t="n">
        <v>44564</v>
      </c>
      <c r="B3" s="36" t="n">
        <v>104000</v>
      </c>
      <c r="C3" s="37" t="inlineStr">
        <is>
          <t>—</t>
        </is>
      </c>
      <c r="D3" s="37" t="inlineStr">
        <is>
          <t>—</t>
        </is>
      </c>
      <c r="E3" s="37" t="inlineStr">
        <is>
          <t>—</t>
        </is>
      </c>
      <c r="F3" s="26" t="inlineStr"/>
    </row>
    <row r="4" ht="16" customHeight="1">
      <c r="A4" s="38" t="n">
        <v>44565</v>
      </c>
      <c r="B4" s="39" t="n">
        <v>103800.01</v>
      </c>
      <c r="C4" s="40">
        <f>LN(B4/B3)</f>
        <v/>
      </c>
      <c r="D4" s="41">
        <f>(B4/B3)-1</f>
        <v/>
      </c>
      <c r="E4" s="42">
        <f>C4^2</f>
        <v/>
      </c>
      <c r="F4" s="22" t="inlineStr"/>
    </row>
    <row r="5" ht="16" customHeight="1">
      <c r="A5" s="35" t="n">
        <v>44566</v>
      </c>
      <c r="B5" s="36" t="n">
        <v>103677</v>
      </c>
      <c r="C5" s="43">
        <f>LN(B5/B4)</f>
        <v/>
      </c>
      <c r="D5" s="44">
        <f>(B5/B4)-1</f>
        <v/>
      </c>
      <c r="E5" s="45">
        <f>C5^2</f>
        <v/>
      </c>
      <c r="F5" s="26" t="inlineStr"/>
    </row>
    <row r="6" ht="16" customHeight="1">
      <c r="A6" s="38" t="n">
        <v>44567</v>
      </c>
      <c r="B6" s="39" t="n">
        <v>104569.73</v>
      </c>
      <c r="C6" s="40">
        <f>LN(B6/B5)</f>
        <v/>
      </c>
      <c r="D6" s="41">
        <f>(B6/B5)-1</f>
        <v/>
      </c>
      <c r="E6" s="42">
        <f>C6^2</f>
        <v/>
      </c>
      <c r="F6" s="22" t="inlineStr"/>
    </row>
    <row r="7" ht="16" customHeight="1">
      <c r="A7" s="35" t="n">
        <v>44568</v>
      </c>
      <c r="B7" s="36" t="n">
        <v>104425.41</v>
      </c>
      <c r="C7" s="43">
        <f>LN(B7/B6)</f>
        <v/>
      </c>
      <c r="D7" s="44">
        <f>(B7/B6)-1</f>
        <v/>
      </c>
      <c r="E7" s="45">
        <f>C7^2</f>
        <v/>
      </c>
      <c r="F7" s="26" t="inlineStr"/>
    </row>
    <row r="8" ht="16" customHeight="1">
      <c r="A8" s="38" t="n">
        <v>44571</v>
      </c>
      <c r="B8" s="39" t="n">
        <v>102581.21</v>
      </c>
      <c r="C8" s="40">
        <f>LN(B8/B7)</f>
        <v/>
      </c>
      <c r="D8" s="41">
        <f>(B8/B7)-1</f>
        <v/>
      </c>
      <c r="E8" s="42">
        <f>C8^2</f>
        <v/>
      </c>
      <c r="F8" s="22" t="inlineStr"/>
    </row>
    <row r="9" ht="16" customHeight="1">
      <c r="A9" s="35" t="n">
        <v>44572</v>
      </c>
      <c r="B9" s="36" t="n">
        <v>103006.55</v>
      </c>
      <c r="C9" s="43">
        <f>LN(B9/B8)</f>
        <v/>
      </c>
      <c r="D9" s="44">
        <f>(B9/B8)-1</f>
        <v/>
      </c>
      <c r="E9" s="45">
        <f>C9^2</f>
        <v/>
      </c>
      <c r="F9" s="26" t="inlineStr"/>
    </row>
    <row r="10" ht="16" customHeight="1">
      <c r="A10" s="38" t="n">
        <v>44573</v>
      </c>
      <c r="B10" s="39" t="n">
        <v>102692.03</v>
      </c>
      <c r="C10" s="40">
        <f>LN(B10/B9)</f>
        <v/>
      </c>
      <c r="D10" s="41">
        <f>(B10/B9)-1</f>
        <v/>
      </c>
      <c r="E10" s="42">
        <f>C10^2</f>
        <v/>
      </c>
      <c r="F10" s="22" t="inlineStr"/>
    </row>
    <row r="11" ht="16" customHeight="1">
      <c r="A11" s="35" t="n">
        <v>44574</v>
      </c>
      <c r="B11" s="36" t="n">
        <v>102440.38</v>
      </c>
      <c r="C11" s="43">
        <f>LN(B11/B10)</f>
        <v/>
      </c>
      <c r="D11" s="44">
        <f>(B11/B10)-1</f>
        <v/>
      </c>
      <c r="E11" s="45">
        <f>C11^2</f>
        <v/>
      </c>
      <c r="F11" s="26" t="inlineStr"/>
    </row>
    <row r="12" ht="16" customHeight="1">
      <c r="A12" s="38" t="n">
        <v>44575</v>
      </c>
      <c r="B12" s="39" t="n">
        <v>102598.32</v>
      </c>
      <c r="C12" s="40">
        <f>LN(B12/B11)</f>
        <v/>
      </c>
      <c r="D12" s="41">
        <f>(B12/B11)-1</f>
        <v/>
      </c>
      <c r="E12" s="42">
        <f>C12^2</f>
        <v/>
      </c>
      <c r="F12" s="22" t="inlineStr"/>
    </row>
    <row r="13" ht="16" customHeight="1">
      <c r="A13" s="35" t="n">
        <v>44578</v>
      </c>
      <c r="B13" s="36" t="n">
        <v>102900.15</v>
      </c>
      <c r="C13" s="43">
        <f>LN(B13/B12)</f>
        <v/>
      </c>
      <c r="D13" s="44">
        <f>(B13/B12)-1</f>
        <v/>
      </c>
      <c r="E13" s="45">
        <f>C13^2</f>
        <v/>
      </c>
      <c r="F13" s="26" t="inlineStr"/>
    </row>
    <row r="14" ht="16" customHeight="1">
      <c r="A14" s="38" t="n">
        <v>44579</v>
      </c>
      <c r="B14" s="39" t="n">
        <v>104362.64</v>
      </c>
      <c r="C14" s="40">
        <f>LN(B14/B13)</f>
        <v/>
      </c>
      <c r="D14" s="41">
        <f>(B14/B13)-1</f>
        <v/>
      </c>
      <c r="E14" s="42">
        <f>C14^2</f>
        <v/>
      </c>
      <c r="F14" s="22" t="inlineStr"/>
    </row>
    <row r="15" ht="16" customHeight="1">
      <c r="A15" s="35" t="n">
        <v>44580</v>
      </c>
      <c r="B15" s="36" t="n">
        <v>105204.01</v>
      </c>
      <c r="C15" s="43">
        <f>LN(B15/B14)</f>
        <v/>
      </c>
      <c r="D15" s="44">
        <f>(B15/B14)-1</f>
        <v/>
      </c>
      <c r="E15" s="45">
        <f>C15^2</f>
        <v/>
      </c>
      <c r="F15" s="26" t="inlineStr"/>
    </row>
    <row r="16" ht="16" customHeight="1">
      <c r="A16" s="38" t="n">
        <v>44581</v>
      </c>
      <c r="B16" s="39" t="n">
        <v>105359.41</v>
      </c>
      <c r="C16" s="40">
        <f>LN(B16/B15)</f>
        <v/>
      </c>
      <c r="D16" s="41">
        <f>(B16/B15)-1</f>
        <v/>
      </c>
      <c r="E16" s="42">
        <f>C16^2</f>
        <v/>
      </c>
      <c r="F16" s="22" t="inlineStr"/>
    </row>
    <row r="17" ht="16" customHeight="1">
      <c r="A17" s="35" t="n">
        <v>44582</v>
      </c>
      <c r="B17" s="36" t="n">
        <v>104445.73</v>
      </c>
      <c r="C17" s="43">
        <f>LN(B17/B16)</f>
        <v/>
      </c>
      <c r="D17" s="44">
        <f>(B17/B16)-1</f>
        <v/>
      </c>
      <c r="E17" s="45">
        <f>C17^2</f>
        <v/>
      </c>
      <c r="F17" s="26" t="inlineStr"/>
    </row>
    <row r="18" ht="16" customHeight="1">
      <c r="A18" s="38" t="n">
        <v>44585</v>
      </c>
      <c r="B18" s="39" t="n">
        <v>103197.19</v>
      </c>
      <c r="C18" s="40">
        <f>LN(B18/B17)</f>
        <v/>
      </c>
      <c r="D18" s="41">
        <f>(B18/B17)-1</f>
        <v/>
      </c>
      <c r="E18" s="42">
        <f>C18^2</f>
        <v/>
      </c>
      <c r="F18" s="22" t="inlineStr"/>
    </row>
    <row r="19" ht="16" customHeight="1">
      <c r="A19" s="35" t="n">
        <v>44586</v>
      </c>
      <c r="B19" s="36" t="n">
        <v>103518.23</v>
      </c>
      <c r="C19" s="43">
        <f>LN(B19/B18)</f>
        <v/>
      </c>
      <c r="D19" s="44">
        <f>(B19/B18)-1</f>
        <v/>
      </c>
      <c r="E19" s="45">
        <f>C19^2</f>
        <v/>
      </c>
      <c r="F19" s="26" t="inlineStr"/>
    </row>
    <row r="20" ht="16" customHeight="1">
      <c r="A20" s="38" t="n">
        <v>44587</v>
      </c>
      <c r="B20" s="39" t="n">
        <v>105175.53</v>
      </c>
      <c r="C20" s="40">
        <f>LN(B20/B19)</f>
        <v/>
      </c>
      <c r="D20" s="41">
        <f>(B20/B19)-1</f>
        <v/>
      </c>
      <c r="E20" s="42">
        <f>C20^2</f>
        <v/>
      </c>
      <c r="F20" s="22" t="inlineStr"/>
    </row>
    <row r="21" ht="16" customHeight="1">
      <c r="A21" s="35" t="n">
        <v>44588</v>
      </c>
      <c r="B21" s="36" t="n">
        <v>105243.9</v>
      </c>
      <c r="C21" s="43">
        <f>LN(B21/B20)</f>
        <v/>
      </c>
      <c r="D21" s="44">
        <f>(B21/B20)-1</f>
        <v/>
      </c>
      <c r="E21" s="45">
        <f>C21^2</f>
        <v/>
      </c>
      <c r="F21" s="26" t="inlineStr"/>
    </row>
    <row r="22" ht="16" customHeight="1">
      <c r="A22" s="38" t="n">
        <v>44589</v>
      </c>
      <c r="B22" s="39" t="n">
        <v>105125.47</v>
      </c>
      <c r="C22" s="40">
        <f>LN(B22/B21)</f>
        <v/>
      </c>
      <c r="D22" s="41">
        <f>(B22/B21)-1</f>
        <v/>
      </c>
      <c r="E22" s="42">
        <f>C22^2</f>
        <v/>
      </c>
      <c r="F22" s="22" t="inlineStr"/>
    </row>
    <row r="23" ht="16" customHeight="1">
      <c r="A23" s="35" t="n">
        <v>44592</v>
      </c>
      <c r="B23" s="36" t="n">
        <v>100198.64</v>
      </c>
      <c r="C23" s="43">
        <f>LN(B23/B22)</f>
        <v/>
      </c>
      <c r="D23" s="44">
        <f>(B23/B22)-1</f>
        <v/>
      </c>
      <c r="E23" s="45">
        <f>C23^2</f>
        <v/>
      </c>
      <c r="F23" s="26" t="inlineStr">
        <is>
          <t>Choque de volatilidade</t>
        </is>
      </c>
    </row>
    <row r="24" ht="16" customHeight="1">
      <c r="A24" s="38" t="n">
        <v>44593</v>
      </c>
      <c r="B24" s="39" t="n">
        <v>100855.21</v>
      </c>
      <c r="C24" s="40">
        <f>LN(B24/B23)</f>
        <v/>
      </c>
      <c r="D24" s="41">
        <f>(B24/B23)-1</f>
        <v/>
      </c>
      <c r="E24" s="42">
        <f>C24^2</f>
        <v/>
      </c>
      <c r="F24" s="22" t="inlineStr"/>
    </row>
    <row r="25" ht="16" customHeight="1">
      <c r="A25" s="35" t="n">
        <v>44594</v>
      </c>
      <c r="B25" s="36" t="n">
        <v>99126.16</v>
      </c>
      <c r="C25" s="43">
        <f>LN(B25/B24)</f>
        <v/>
      </c>
      <c r="D25" s="44">
        <f>(B25/B24)-1</f>
        <v/>
      </c>
      <c r="E25" s="45">
        <f>C25^2</f>
        <v/>
      </c>
      <c r="F25" s="26" t="inlineStr"/>
    </row>
    <row r="26" ht="16" customHeight="1">
      <c r="A26" s="38" t="n">
        <v>44595</v>
      </c>
      <c r="B26" s="39" t="n">
        <v>98770.21000000001</v>
      </c>
      <c r="C26" s="40">
        <f>LN(B26/B25)</f>
        <v/>
      </c>
      <c r="D26" s="41">
        <f>(B26/B25)-1</f>
        <v/>
      </c>
      <c r="E26" s="42">
        <f>C26^2</f>
        <v/>
      </c>
      <c r="F26" s="22" t="inlineStr"/>
    </row>
    <row r="27" ht="16" customHeight="1">
      <c r="A27" s="35" t="n">
        <v>44596</v>
      </c>
      <c r="B27" s="36" t="n">
        <v>99368.03</v>
      </c>
      <c r="C27" s="43">
        <f>LN(B27/B26)</f>
        <v/>
      </c>
      <c r="D27" s="44">
        <f>(B27/B26)-1</f>
        <v/>
      </c>
      <c r="E27" s="45">
        <f>C27^2</f>
        <v/>
      </c>
      <c r="F27" s="26" t="inlineStr"/>
    </row>
    <row r="28" ht="16" customHeight="1">
      <c r="A28" s="38" t="n">
        <v>44599</v>
      </c>
      <c r="B28" s="39" t="n">
        <v>103319.94</v>
      </c>
      <c r="C28" s="40">
        <f>LN(B28/B27)</f>
        <v/>
      </c>
      <c r="D28" s="41">
        <f>(B28/B27)-1</f>
        <v/>
      </c>
      <c r="E28" s="42">
        <f>C28^2</f>
        <v/>
      </c>
      <c r="F28" s="22" t="inlineStr">
        <is>
          <t>Recuperação forte</t>
        </is>
      </c>
    </row>
    <row r="29" ht="16" customHeight="1">
      <c r="A29" s="35" t="n">
        <v>44600</v>
      </c>
      <c r="B29" s="36" t="n">
        <v>104424.18</v>
      </c>
      <c r="C29" s="43">
        <f>LN(B29/B28)</f>
        <v/>
      </c>
      <c r="D29" s="44">
        <f>(B29/B28)-1</f>
        <v/>
      </c>
      <c r="E29" s="45">
        <f>C29^2</f>
        <v/>
      </c>
      <c r="F29" s="26" t="inlineStr"/>
    </row>
    <row r="30" ht="16" customHeight="1">
      <c r="A30" s="38" t="n">
        <v>44601</v>
      </c>
      <c r="B30" s="39" t="n">
        <v>104138.7</v>
      </c>
      <c r="C30" s="40">
        <f>LN(B30/B29)</f>
        <v/>
      </c>
      <c r="D30" s="41">
        <f>(B30/B29)-1</f>
        <v/>
      </c>
      <c r="E30" s="42">
        <f>C30^2</f>
        <v/>
      </c>
      <c r="F30" s="22" t="inlineStr"/>
    </row>
    <row r="31" ht="16" customHeight="1">
      <c r="A31" s="35" t="n">
        <v>44602</v>
      </c>
      <c r="B31" s="36" t="n">
        <v>104626.08</v>
      </c>
      <c r="C31" s="43">
        <f>LN(B31/B30)</f>
        <v/>
      </c>
      <c r="D31" s="44">
        <f>(B31/B30)-1</f>
        <v/>
      </c>
      <c r="E31" s="45">
        <f>C31^2</f>
        <v/>
      </c>
      <c r="F31" s="26" t="inlineStr"/>
    </row>
    <row r="32" ht="16" customHeight="1">
      <c r="A32" s="38" t="n">
        <v>44603</v>
      </c>
      <c r="B32" s="39" t="n">
        <v>104953.92</v>
      </c>
      <c r="C32" s="40">
        <f>LN(B32/B31)</f>
        <v/>
      </c>
      <c r="D32" s="41">
        <f>(B32/B31)-1</f>
        <v/>
      </c>
      <c r="E32" s="42">
        <f>C32^2</f>
        <v/>
      </c>
      <c r="F32" s="22" t="inlineStr"/>
    </row>
    <row r="33" ht="16" customHeight="1">
      <c r="A33" s="35" t="n">
        <v>44606</v>
      </c>
      <c r="B33" s="36" t="n">
        <v>105959.75</v>
      </c>
      <c r="C33" s="43">
        <f>LN(B33/B32)</f>
        <v/>
      </c>
      <c r="D33" s="44">
        <f>(B33/B32)-1</f>
        <v/>
      </c>
      <c r="E33" s="45">
        <f>C33^2</f>
        <v/>
      </c>
      <c r="F33" s="26" t="inlineStr"/>
    </row>
    <row r="34" ht="16" customHeight="1">
      <c r="A34" s="38" t="n">
        <v>44607</v>
      </c>
      <c r="B34" s="39" t="n">
        <v>104569.37</v>
      </c>
      <c r="C34" s="40">
        <f>LN(B34/B33)</f>
        <v/>
      </c>
      <c r="D34" s="41">
        <f>(B34/B33)-1</f>
        <v/>
      </c>
      <c r="E34" s="42">
        <f>C34^2</f>
        <v/>
      </c>
      <c r="F34" s="22" t="inlineStr"/>
    </row>
    <row r="35" ht="16" customHeight="1">
      <c r="A35" s="35" t="n">
        <v>44608</v>
      </c>
      <c r="B35" s="36" t="n">
        <v>105300.66</v>
      </c>
      <c r="C35" s="43">
        <f>LN(B35/B34)</f>
        <v/>
      </c>
      <c r="D35" s="44">
        <f>(B35/B34)-1</f>
        <v/>
      </c>
      <c r="E35" s="45">
        <f>C35^2</f>
        <v/>
      </c>
      <c r="F35" s="26" t="inlineStr"/>
    </row>
    <row r="36" ht="16" customHeight="1">
      <c r="A36" s="38" t="n">
        <v>44609</v>
      </c>
      <c r="B36" s="39" t="n">
        <v>103419.7</v>
      </c>
      <c r="C36" s="40">
        <f>LN(B36/B35)</f>
        <v/>
      </c>
      <c r="D36" s="41">
        <f>(B36/B35)-1</f>
        <v/>
      </c>
      <c r="E36" s="42">
        <f>C36^2</f>
        <v/>
      </c>
      <c r="F36" s="22" t="inlineStr"/>
    </row>
    <row r="37" ht="16" customHeight="1">
      <c r="A37" s="35" t="n">
        <v>44610</v>
      </c>
      <c r="B37" s="36" t="n">
        <v>100233.87</v>
      </c>
      <c r="C37" s="43">
        <f>LN(B37/B36)</f>
        <v/>
      </c>
      <c r="D37" s="44">
        <f>(B37/B36)-1</f>
        <v/>
      </c>
      <c r="E37" s="45">
        <f>C37^2</f>
        <v/>
      </c>
      <c r="F37" s="26" t="inlineStr"/>
    </row>
    <row r="38" ht="16" customHeight="1">
      <c r="A38" s="38" t="n">
        <v>44613</v>
      </c>
      <c r="B38" s="39" t="n">
        <v>99521.48</v>
      </c>
      <c r="C38" s="40">
        <f>LN(B38/B37)</f>
        <v/>
      </c>
      <c r="D38" s="41">
        <f>(B38/B37)-1</f>
        <v/>
      </c>
      <c r="E38" s="42">
        <f>C38^2</f>
        <v/>
      </c>
      <c r="F38" s="22" t="inlineStr"/>
    </row>
    <row r="39" ht="16" customHeight="1">
      <c r="A39" s="35" t="n">
        <v>44614</v>
      </c>
      <c r="B39" s="36" t="n">
        <v>98448.52</v>
      </c>
      <c r="C39" s="43">
        <f>LN(B39/B38)</f>
        <v/>
      </c>
      <c r="D39" s="44">
        <f>(B39/B38)-1</f>
        <v/>
      </c>
      <c r="E39" s="45">
        <f>C39^2</f>
        <v/>
      </c>
      <c r="F39" s="26" t="inlineStr"/>
    </row>
    <row r="40" ht="16" customHeight="1">
      <c r="A40" s="38" t="n">
        <v>44615</v>
      </c>
      <c r="B40" s="39" t="n">
        <v>99503.81</v>
      </c>
      <c r="C40" s="40">
        <f>LN(B40/B39)</f>
        <v/>
      </c>
      <c r="D40" s="41">
        <f>(B40/B39)-1</f>
        <v/>
      </c>
      <c r="E40" s="42">
        <f>C40^2</f>
        <v/>
      </c>
      <c r="F40" s="22" t="inlineStr"/>
    </row>
    <row r="41" ht="16" customHeight="1">
      <c r="A41" s="35" t="n">
        <v>44616</v>
      </c>
      <c r="B41" s="36" t="n">
        <v>100315.19</v>
      </c>
      <c r="C41" s="43">
        <f>LN(B41/B40)</f>
        <v/>
      </c>
      <c r="D41" s="44">
        <f>(B41/B40)-1</f>
        <v/>
      </c>
      <c r="E41" s="45">
        <f>C41^2</f>
        <v/>
      </c>
      <c r="F41" s="26" t="inlineStr"/>
    </row>
    <row r="42" ht="16" customHeight="1">
      <c r="A42" s="38" t="n">
        <v>44617</v>
      </c>
      <c r="B42" s="39" t="n">
        <v>98873.2</v>
      </c>
      <c r="C42" s="40">
        <f>LN(B42/B41)</f>
        <v/>
      </c>
      <c r="D42" s="41">
        <f>(B42/B41)-1</f>
        <v/>
      </c>
      <c r="E42" s="42">
        <f>C42^2</f>
        <v/>
      </c>
      <c r="F42" s="22" t="inlineStr"/>
    </row>
    <row r="43" ht="16" customHeight="1">
      <c r="A43" s="35" t="n">
        <v>44620</v>
      </c>
      <c r="B43" s="36" t="n">
        <v>99898.69</v>
      </c>
      <c r="C43" s="43">
        <f>LN(B43/B42)</f>
        <v/>
      </c>
      <c r="D43" s="44">
        <f>(B43/B42)-1</f>
        <v/>
      </c>
      <c r="E43" s="45">
        <f>C43^2</f>
        <v/>
      </c>
      <c r="F43" s="26" t="inlineStr"/>
    </row>
    <row r="44" ht="16" customHeight="1">
      <c r="A44" s="38" t="n">
        <v>44621</v>
      </c>
      <c r="B44" s="39" t="n">
        <v>98719.27</v>
      </c>
      <c r="C44" s="40">
        <f>LN(B44/B43)</f>
        <v/>
      </c>
      <c r="D44" s="41">
        <f>(B44/B43)-1</f>
        <v/>
      </c>
      <c r="E44" s="42">
        <f>C44^2</f>
        <v/>
      </c>
      <c r="F44" s="22" t="inlineStr"/>
    </row>
    <row r="45" ht="16" customHeight="1">
      <c r="A45" s="35" t="n">
        <v>44622</v>
      </c>
      <c r="B45" s="36" t="n">
        <v>98631.95</v>
      </c>
      <c r="C45" s="43">
        <f>LN(B45/B44)</f>
        <v/>
      </c>
      <c r="D45" s="44">
        <f>(B45/B44)-1</f>
        <v/>
      </c>
      <c r="E45" s="45">
        <f>C45^2</f>
        <v/>
      </c>
      <c r="F45" s="26" t="inlineStr"/>
    </row>
    <row r="46" ht="16" customHeight="1">
      <c r="A46" s="38" t="n">
        <v>44623</v>
      </c>
      <c r="B46" s="39" t="n">
        <v>98299.45</v>
      </c>
      <c r="C46" s="40">
        <f>LN(B46/B45)</f>
        <v/>
      </c>
      <c r="D46" s="41">
        <f>(B46/B45)-1</f>
        <v/>
      </c>
      <c r="E46" s="42">
        <f>C46^2</f>
        <v/>
      </c>
      <c r="F46" s="22" t="inlineStr"/>
    </row>
    <row r="47" ht="16" customHeight="1">
      <c r="A47" s="35" t="n">
        <v>44624</v>
      </c>
      <c r="B47" s="36" t="n">
        <v>98449.28</v>
      </c>
      <c r="C47" s="43">
        <f>LN(B47/B46)</f>
        <v/>
      </c>
      <c r="D47" s="44">
        <f>(B47/B46)-1</f>
        <v/>
      </c>
      <c r="E47" s="45">
        <f>C47^2</f>
        <v/>
      </c>
      <c r="F47" s="26" t="inlineStr"/>
    </row>
    <row r="48" ht="16" customHeight="1">
      <c r="A48" s="38" t="n">
        <v>44627</v>
      </c>
      <c r="B48" s="39" t="n">
        <v>99436.09</v>
      </c>
      <c r="C48" s="40">
        <f>LN(B48/B47)</f>
        <v/>
      </c>
      <c r="D48" s="41">
        <f>(B48/B47)-1</f>
        <v/>
      </c>
      <c r="E48" s="42">
        <f>C48^2</f>
        <v/>
      </c>
      <c r="F48" s="22" t="inlineStr"/>
    </row>
    <row r="49" ht="16" customHeight="1">
      <c r="A49" s="35" t="n">
        <v>44628</v>
      </c>
      <c r="B49" s="36" t="n">
        <v>100215.82</v>
      </c>
      <c r="C49" s="43">
        <f>LN(B49/B48)</f>
        <v/>
      </c>
      <c r="D49" s="44">
        <f>(B49/B48)-1</f>
        <v/>
      </c>
      <c r="E49" s="45">
        <f>C49^2</f>
        <v/>
      </c>
      <c r="F49" s="26" t="inlineStr"/>
    </row>
    <row r="50" ht="16" customHeight="1">
      <c r="A50" s="38" t="n">
        <v>44629</v>
      </c>
      <c r="B50" s="39" t="n">
        <v>100652.57</v>
      </c>
      <c r="C50" s="40">
        <f>LN(B50/B49)</f>
        <v/>
      </c>
      <c r="D50" s="41">
        <f>(B50/B49)-1</f>
        <v/>
      </c>
      <c r="E50" s="42">
        <f>C50^2</f>
        <v/>
      </c>
      <c r="F50" s="22" t="inlineStr"/>
    </row>
    <row r="51" ht="16" customHeight="1">
      <c r="A51" s="35" t="n">
        <v>44630</v>
      </c>
      <c r="B51" s="36" t="n">
        <v>101455.88</v>
      </c>
      <c r="C51" s="43">
        <f>LN(B51/B50)</f>
        <v/>
      </c>
      <c r="D51" s="44">
        <f>(B51/B50)-1</f>
        <v/>
      </c>
      <c r="E51" s="45">
        <f>C51^2</f>
        <v/>
      </c>
      <c r="F51" s="26" t="inlineStr"/>
    </row>
    <row r="52" ht="16" customHeight="1">
      <c r="A52" s="38" t="n">
        <v>44631</v>
      </c>
      <c r="B52" s="39" t="n">
        <v>102055.41</v>
      </c>
      <c r="C52" s="40">
        <f>LN(B52/B51)</f>
        <v/>
      </c>
      <c r="D52" s="41">
        <f>(B52/B51)-1</f>
        <v/>
      </c>
      <c r="E52" s="42">
        <f>C52^2</f>
        <v/>
      </c>
      <c r="F52" s="22" t="inlineStr"/>
    </row>
    <row r="53" ht="16" customHeight="1">
      <c r="A53" s="35" t="n">
        <v>44634</v>
      </c>
      <c r="B53" s="36" t="n">
        <v>101305.64</v>
      </c>
      <c r="C53" s="43">
        <f>LN(B53/B52)</f>
        <v/>
      </c>
      <c r="D53" s="44">
        <f>(B53/B52)-1</f>
        <v/>
      </c>
      <c r="E53" s="45">
        <f>C53^2</f>
        <v/>
      </c>
      <c r="F53" s="26" t="inlineStr"/>
    </row>
    <row r="54" ht="16" customHeight="1">
      <c r="A54" s="38" t="n">
        <v>44635</v>
      </c>
      <c r="B54" s="39" t="n">
        <v>100452.36</v>
      </c>
      <c r="C54" s="40">
        <f>LN(B54/B53)</f>
        <v/>
      </c>
      <c r="D54" s="41">
        <f>(B54/B53)-1</f>
        <v/>
      </c>
      <c r="E54" s="42">
        <f>C54^2</f>
        <v/>
      </c>
      <c r="F54" s="22" t="inlineStr"/>
    </row>
    <row r="55" ht="16" customHeight="1">
      <c r="A55" s="35" t="n">
        <v>44636</v>
      </c>
      <c r="B55" s="36" t="n">
        <v>99902.42999999999</v>
      </c>
      <c r="C55" s="43">
        <f>LN(B55/B54)</f>
        <v/>
      </c>
      <c r="D55" s="44">
        <f>(B55/B54)-1</f>
        <v/>
      </c>
      <c r="E55" s="45">
        <f>C55^2</f>
        <v/>
      </c>
      <c r="F55" s="26" t="inlineStr"/>
    </row>
    <row r="56" ht="16" customHeight="1">
      <c r="A56" s="38" t="n">
        <v>44637</v>
      </c>
      <c r="B56" s="39" t="n">
        <v>100517.91</v>
      </c>
      <c r="C56" s="40">
        <f>LN(B56/B55)</f>
        <v/>
      </c>
      <c r="D56" s="41">
        <f>(B56/B55)-1</f>
        <v/>
      </c>
      <c r="E56" s="42">
        <f>C56^2</f>
        <v/>
      </c>
      <c r="F56" s="22" t="inlineStr"/>
    </row>
    <row r="57" ht="16" customHeight="1">
      <c r="A57" s="35" t="n">
        <v>44638</v>
      </c>
      <c r="B57" s="36" t="n">
        <v>100231.7</v>
      </c>
      <c r="C57" s="43">
        <f>LN(B57/B56)</f>
        <v/>
      </c>
      <c r="D57" s="44">
        <f>(B57/B56)-1</f>
        <v/>
      </c>
      <c r="E57" s="45">
        <f>C57^2</f>
        <v/>
      </c>
      <c r="F57" s="26" t="inlineStr"/>
    </row>
    <row r="58" ht="16" customHeight="1">
      <c r="A58" s="38" t="n">
        <v>44641</v>
      </c>
      <c r="B58" s="39" t="n">
        <v>103096.31</v>
      </c>
      <c r="C58" s="40">
        <f>LN(B58/B57)</f>
        <v/>
      </c>
      <c r="D58" s="41">
        <f>(B58/B57)-1</f>
        <v/>
      </c>
      <c r="E58" s="42">
        <f>C58^2</f>
        <v/>
      </c>
      <c r="F58" s="22" t="inlineStr"/>
    </row>
    <row r="59" ht="16" customHeight="1">
      <c r="A59" s="35" t="n">
        <v>44642</v>
      </c>
      <c r="B59" s="36" t="n">
        <v>102103</v>
      </c>
      <c r="C59" s="43">
        <f>LN(B59/B58)</f>
        <v/>
      </c>
      <c r="D59" s="44">
        <f>(B59/B58)-1</f>
        <v/>
      </c>
      <c r="E59" s="45">
        <f>C59^2</f>
        <v/>
      </c>
      <c r="F59" s="26" t="inlineStr"/>
    </row>
    <row r="60" ht="16" customHeight="1">
      <c r="A60" s="38" t="n">
        <v>44643</v>
      </c>
      <c r="B60" s="39" t="n">
        <v>100780.57</v>
      </c>
      <c r="C60" s="40">
        <f>LN(B60/B59)</f>
        <v/>
      </c>
      <c r="D60" s="41">
        <f>(B60/B59)-1</f>
        <v/>
      </c>
      <c r="E60" s="42">
        <f>C60^2</f>
        <v/>
      </c>
      <c r="F60" s="22" t="inlineStr"/>
    </row>
    <row r="61" ht="16" customHeight="1">
      <c r="A61" s="35" t="n">
        <v>44644</v>
      </c>
      <c r="B61" s="36" t="n">
        <v>101729.49</v>
      </c>
      <c r="C61" s="43">
        <f>LN(B61/B60)</f>
        <v/>
      </c>
      <c r="D61" s="44">
        <f>(B61/B60)-1</f>
        <v/>
      </c>
      <c r="E61" s="45">
        <f>C61^2</f>
        <v/>
      </c>
      <c r="F61" s="26" t="inlineStr"/>
    </row>
    <row r="62" ht="16" customHeight="1">
      <c r="A62" s="38" t="n">
        <v>44645</v>
      </c>
      <c r="B62" s="39" t="n">
        <v>103495.63</v>
      </c>
      <c r="C62" s="40">
        <f>LN(B62/B61)</f>
        <v/>
      </c>
      <c r="D62" s="41">
        <f>(B62/B61)-1</f>
        <v/>
      </c>
      <c r="E62" s="42">
        <f>C62^2</f>
        <v/>
      </c>
      <c r="F62" s="22" t="inlineStr"/>
    </row>
    <row r="63" ht="16" customHeight="1">
      <c r="A63" s="35" t="n">
        <v>44648</v>
      </c>
      <c r="B63" s="36" t="n">
        <v>99338.12</v>
      </c>
      <c r="C63" s="43">
        <f>LN(B63/B62)</f>
        <v/>
      </c>
      <c r="D63" s="44">
        <f>(B63/B62)-1</f>
        <v/>
      </c>
      <c r="E63" s="45">
        <f>C63^2</f>
        <v/>
      </c>
      <c r="F63" s="26" t="inlineStr">
        <is>
          <t>Pressão vendedora</t>
        </is>
      </c>
    </row>
    <row r="64" ht="16" customHeight="1">
      <c r="A64" s="38" t="n">
        <v>44649</v>
      </c>
      <c r="B64" s="39" t="n">
        <v>99957.75999999999</v>
      </c>
      <c r="C64" s="40">
        <f>LN(B64/B63)</f>
        <v/>
      </c>
      <c r="D64" s="41">
        <f>(B64/B63)-1</f>
        <v/>
      </c>
      <c r="E64" s="42">
        <f>C64^2</f>
        <v/>
      </c>
      <c r="F64" s="22" t="inlineStr"/>
    </row>
    <row r="65" ht="16" customHeight="1">
      <c r="A65" s="35" t="n">
        <v>44650</v>
      </c>
      <c r="B65" s="36" t="n">
        <v>100980.51</v>
      </c>
      <c r="C65" s="43">
        <f>LN(B65/B64)</f>
        <v/>
      </c>
      <c r="D65" s="44">
        <f>(B65/B64)-1</f>
        <v/>
      </c>
      <c r="E65" s="45">
        <f>C65^2</f>
        <v/>
      </c>
      <c r="F65" s="26" t="inlineStr"/>
    </row>
    <row r="66" ht="16" customHeight="1">
      <c r="A66" s="38" t="n">
        <v>44651</v>
      </c>
      <c r="B66" s="39" t="n">
        <v>102739.19</v>
      </c>
      <c r="C66" s="40">
        <f>LN(B66/B65)</f>
        <v/>
      </c>
      <c r="D66" s="41">
        <f>(B66/B65)-1</f>
        <v/>
      </c>
      <c r="E66" s="42">
        <f>C66^2</f>
        <v/>
      </c>
      <c r="F66" s="22" t="inlineStr"/>
    </row>
    <row r="67" ht="16" customHeight="1">
      <c r="A67" s="35" t="n">
        <v>44652</v>
      </c>
      <c r="B67" s="36" t="n">
        <v>102638.73</v>
      </c>
      <c r="C67" s="43">
        <f>LN(B67/B66)</f>
        <v/>
      </c>
      <c r="D67" s="44">
        <f>(B67/B66)-1</f>
        <v/>
      </c>
      <c r="E67" s="45">
        <f>C67^2</f>
        <v/>
      </c>
      <c r="F67" s="26" t="inlineStr"/>
    </row>
    <row r="68" ht="16" customHeight="1">
      <c r="A68" s="38" t="n">
        <v>44655</v>
      </c>
      <c r="B68" s="39" t="n">
        <v>100916.14</v>
      </c>
      <c r="C68" s="40">
        <f>LN(B68/B67)</f>
        <v/>
      </c>
      <c r="D68" s="41">
        <f>(B68/B67)-1</f>
        <v/>
      </c>
      <c r="E68" s="42">
        <f>C68^2</f>
        <v/>
      </c>
      <c r="F68" s="22" t="inlineStr"/>
    </row>
    <row r="69" ht="16" customHeight="1">
      <c r="A69" s="35" t="n">
        <v>44656</v>
      </c>
      <c r="B69" s="36" t="n">
        <v>100288.89</v>
      </c>
      <c r="C69" s="43">
        <f>LN(B69/B68)</f>
        <v/>
      </c>
      <c r="D69" s="44">
        <f>(B69/B68)-1</f>
        <v/>
      </c>
      <c r="E69" s="45">
        <f>C69^2</f>
        <v/>
      </c>
      <c r="F69" s="26" t="inlineStr"/>
    </row>
    <row r="70" ht="16" customHeight="1">
      <c r="A70" s="38" t="n">
        <v>44657</v>
      </c>
      <c r="B70" s="39" t="n">
        <v>101457.47</v>
      </c>
      <c r="C70" s="40">
        <f>LN(B70/B69)</f>
        <v/>
      </c>
      <c r="D70" s="41">
        <f>(B70/B69)-1</f>
        <v/>
      </c>
      <c r="E70" s="42">
        <f>C70^2</f>
        <v/>
      </c>
      <c r="F70" s="22" t="inlineStr"/>
    </row>
    <row r="71" ht="16" customHeight="1">
      <c r="A71" s="35" t="n">
        <v>44658</v>
      </c>
      <c r="B71" s="36" t="n">
        <v>99729.89999999999</v>
      </c>
      <c r="C71" s="43">
        <f>LN(B71/B70)</f>
        <v/>
      </c>
      <c r="D71" s="44">
        <f>(B71/B70)-1</f>
        <v/>
      </c>
      <c r="E71" s="45">
        <f>C71^2</f>
        <v/>
      </c>
      <c r="F71" s="26" t="inlineStr"/>
    </row>
    <row r="72" ht="16" customHeight="1">
      <c r="A72" s="38" t="n">
        <v>44659</v>
      </c>
      <c r="B72" s="39" t="n">
        <v>99785</v>
      </c>
      <c r="C72" s="40">
        <f>LN(B72/B71)</f>
        <v/>
      </c>
      <c r="D72" s="41">
        <f>(B72/B71)-1</f>
        <v/>
      </c>
      <c r="E72" s="42">
        <f>C72^2</f>
        <v/>
      </c>
      <c r="F72" s="22" t="inlineStr"/>
    </row>
    <row r="73" ht="16" customHeight="1">
      <c r="A73" s="35" t="n">
        <v>44662</v>
      </c>
      <c r="B73" s="36" t="n">
        <v>100103.71</v>
      </c>
      <c r="C73" s="43">
        <f>LN(B73/B72)</f>
        <v/>
      </c>
      <c r="D73" s="44">
        <f>(B73/B72)-1</f>
        <v/>
      </c>
      <c r="E73" s="45">
        <f>C73^2</f>
        <v/>
      </c>
      <c r="F73" s="26" t="inlineStr"/>
    </row>
    <row r="74" ht="16" customHeight="1">
      <c r="A74" s="38" t="n">
        <v>44663</v>
      </c>
      <c r="B74" s="39" t="n">
        <v>99740.28</v>
      </c>
      <c r="C74" s="40">
        <f>LN(B74/B73)</f>
        <v/>
      </c>
      <c r="D74" s="41">
        <f>(B74/B73)-1</f>
        <v/>
      </c>
      <c r="E74" s="42">
        <f>C74^2</f>
        <v/>
      </c>
      <c r="F74" s="22" t="inlineStr"/>
    </row>
    <row r="75" ht="16" customHeight="1">
      <c r="A75" s="35" t="n">
        <v>44664</v>
      </c>
      <c r="B75" s="36" t="n">
        <v>100625.25</v>
      </c>
      <c r="C75" s="43">
        <f>LN(B75/B74)</f>
        <v/>
      </c>
      <c r="D75" s="44">
        <f>(B75/B74)-1</f>
        <v/>
      </c>
      <c r="E75" s="45">
        <f>C75^2</f>
        <v/>
      </c>
      <c r="F75" s="26" t="inlineStr"/>
    </row>
    <row r="76" ht="16" customHeight="1">
      <c r="A76" s="38" t="n">
        <v>44665</v>
      </c>
      <c r="B76" s="39" t="n">
        <v>101344.19</v>
      </c>
      <c r="C76" s="40">
        <f>LN(B76/B75)</f>
        <v/>
      </c>
      <c r="D76" s="41">
        <f>(B76/B75)-1</f>
        <v/>
      </c>
      <c r="E76" s="42">
        <f>C76^2</f>
        <v/>
      </c>
      <c r="F76" s="22" t="inlineStr"/>
    </row>
    <row r="77" ht="16" customHeight="1">
      <c r="A77" s="35" t="n">
        <v>44666</v>
      </c>
      <c r="B77" s="36" t="n">
        <v>104222.65</v>
      </c>
      <c r="C77" s="43">
        <f>LN(B77/B76)</f>
        <v/>
      </c>
      <c r="D77" s="44">
        <f>(B77/B76)-1</f>
        <v/>
      </c>
      <c r="E77" s="45">
        <f>C77^2</f>
        <v/>
      </c>
      <c r="F77" s="26" t="inlineStr"/>
    </row>
    <row r="78" ht="16" customHeight="1">
      <c r="A78" s="38" t="n">
        <v>44669</v>
      </c>
      <c r="B78" s="39" t="n">
        <v>105016.67</v>
      </c>
      <c r="C78" s="40">
        <f>LN(B78/B77)</f>
        <v/>
      </c>
      <c r="D78" s="41">
        <f>(B78/B77)-1</f>
        <v/>
      </c>
      <c r="E78" s="42">
        <f>C78^2</f>
        <v/>
      </c>
      <c r="F78" s="22" t="inlineStr"/>
    </row>
    <row r="79" ht="16" customHeight="1">
      <c r="A79" s="35" t="n">
        <v>44670</v>
      </c>
      <c r="B79" s="36" t="n">
        <v>104267.14</v>
      </c>
      <c r="C79" s="43">
        <f>LN(B79/B78)</f>
        <v/>
      </c>
      <c r="D79" s="44">
        <f>(B79/B78)-1</f>
        <v/>
      </c>
      <c r="E79" s="45">
        <f>C79^2</f>
        <v/>
      </c>
      <c r="F79" s="26" t="inlineStr"/>
    </row>
    <row r="80" ht="16" customHeight="1">
      <c r="A80" s="38" t="n">
        <v>44671</v>
      </c>
      <c r="B80" s="39" t="n">
        <v>103582.12</v>
      </c>
      <c r="C80" s="40">
        <f>LN(B80/B79)</f>
        <v/>
      </c>
      <c r="D80" s="41">
        <f>(B80/B79)-1</f>
        <v/>
      </c>
      <c r="E80" s="42">
        <f>C80^2</f>
        <v/>
      </c>
      <c r="F80" s="22" t="inlineStr"/>
    </row>
    <row r="81" ht="16" customHeight="1">
      <c r="A81" s="35" t="n">
        <v>44672</v>
      </c>
      <c r="B81" s="36" t="n">
        <v>102569</v>
      </c>
      <c r="C81" s="43">
        <f>LN(B81/B80)</f>
        <v/>
      </c>
      <c r="D81" s="44">
        <f>(B81/B80)-1</f>
        <v/>
      </c>
      <c r="E81" s="45">
        <f>C81^2</f>
        <v/>
      </c>
      <c r="F81" s="26" t="inlineStr"/>
    </row>
    <row r="82" ht="16" customHeight="1">
      <c r="A82" s="38" t="n">
        <v>44673</v>
      </c>
      <c r="B82" s="39" t="n">
        <v>103763.37</v>
      </c>
      <c r="C82" s="40">
        <f>LN(B82/B81)</f>
        <v/>
      </c>
      <c r="D82" s="41">
        <f>(B82/B81)-1</f>
        <v/>
      </c>
      <c r="E82" s="42">
        <f>C82^2</f>
        <v/>
      </c>
      <c r="F82" s="22" t="inlineStr"/>
    </row>
    <row r="83" ht="16" customHeight="1">
      <c r="A83" s="35" t="n">
        <v>44676</v>
      </c>
      <c r="B83" s="36" t="n">
        <v>107459.39</v>
      </c>
      <c r="C83" s="43">
        <f>LN(B83/B82)</f>
        <v/>
      </c>
      <c r="D83" s="44">
        <f>(B83/B82)-1</f>
        <v/>
      </c>
      <c r="E83" s="45">
        <f>C83^2</f>
        <v/>
      </c>
      <c r="F83" s="26" t="inlineStr"/>
    </row>
    <row r="84" ht="16" customHeight="1">
      <c r="A84" s="38" t="n">
        <v>44677</v>
      </c>
      <c r="B84" s="39" t="n">
        <v>106746.94</v>
      </c>
      <c r="C84" s="40">
        <f>LN(B84/B83)</f>
        <v/>
      </c>
      <c r="D84" s="41">
        <f>(B84/B83)-1</f>
        <v/>
      </c>
      <c r="E84" s="42">
        <f>C84^2</f>
        <v/>
      </c>
      <c r="F84" s="22" t="inlineStr"/>
    </row>
    <row r="85" ht="16" customHeight="1">
      <c r="A85" s="35" t="n">
        <v>44678</v>
      </c>
      <c r="B85" s="36" t="n">
        <v>106672.98</v>
      </c>
      <c r="C85" s="43">
        <f>LN(B85/B84)</f>
        <v/>
      </c>
      <c r="D85" s="44">
        <f>(B85/B84)-1</f>
        <v/>
      </c>
      <c r="E85" s="45">
        <f>C85^2</f>
        <v/>
      </c>
      <c r="F85" s="26" t="inlineStr"/>
    </row>
    <row r="86" ht="16" customHeight="1">
      <c r="A86" s="38" t="n">
        <v>44679</v>
      </c>
      <c r="B86" s="39" t="n">
        <v>107652.62</v>
      </c>
      <c r="C86" s="40">
        <f>LN(B86/B85)</f>
        <v/>
      </c>
      <c r="D86" s="41">
        <f>(B86/B85)-1</f>
        <v/>
      </c>
      <c r="E86" s="42">
        <f>C86^2</f>
        <v/>
      </c>
      <c r="F86" s="22" t="inlineStr"/>
    </row>
    <row r="87" ht="16" customHeight="1">
      <c r="A87" s="35" t="n">
        <v>44680</v>
      </c>
      <c r="B87" s="36" t="n">
        <v>106738.08</v>
      </c>
      <c r="C87" s="43">
        <f>LN(B87/B86)</f>
        <v/>
      </c>
      <c r="D87" s="44">
        <f>(B87/B86)-1</f>
        <v/>
      </c>
      <c r="E87" s="45">
        <f>C87^2</f>
        <v/>
      </c>
      <c r="F87" s="26" t="inlineStr"/>
    </row>
    <row r="88" ht="16" customHeight="1">
      <c r="A88" s="38" t="n">
        <v>44683</v>
      </c>
      <c r="B88" s="39" t="n">
        <v>106378.56</v>
      </c>
      <c r="C88" s="40">
        <f>LN(B88/B87)</f>
        <v/>
      </c>
      <c r="D88" s="41">
        <f>(B88/B87)-1</f>
        <v/>
      </c>
      <c r="E88" s="42">
        <f>C88^2</f>
        <v/>
      </c>
      <c r="F88" s="22" t="inlineStr"/>
    </row>
    <row r="89" ht="16" customHeight="1">
      <c r="A89" s="35" t="n">
        <v>44684</v>
      </c>
      <c r="B89" s="36" t="n">
        <v>104069.47</v>
      </c>
      <c r="C89" s="43">
        <f>LN(B89/B88)</f>
        <v/>
      </c>
      <c r="D89" s="44">
        <f>(B89/B88)-1</f>
        <v/>
      </c>
      <c r="E89" s="45">
        <f>C89^2</f>
        <v/>
      </c>
      <c r="F89" s="26" t="inlineStr"/>
    </row>
    <row r="90" ht="16" customHeight="1">
      <c r="A90" s="38" t="n">
        <v>44685</v>
      </c>
      <c r="B90" s="39" t="n">
        <v>102741.79</v>
      </c>
      <c r="C90" s="40">
        <f>LN(B90/B89)</f>
        <v/>
      </c>
      <c r="D90" s="41">
        <f>(B90/B89)-1</f>
        <v/>
      </c>
      <c r="E90" s="42">
        <f>C90^2</f>
        <v/>
      </c>
      <c r="F90" s="22" t="inlineStr"/>
    </row>
    <row r="91" ht="16" customHeight="1">
      <c r="A91" s="35" t="n">
        <v>44686</v>
      </c>
      <c r="B91" s="36" t="n">
        <v>102059.51</v>
      </c>
      <c r="C91" s="43">
        <f>LN(B91/B90)</f>
        <v/>
      </c>
      <c r="D91" s="44">
        <f>(B91/B90)-1</f>
        <v/>
      </c>
      <c r="E91" s="45">
        <f>C91^2</f>
        <v/>
      </c>
      <c r="F91" s="26" t="inlineStr"/>
    </row>
    <row r="92" ht="16" customHeight="1">
      <c r="A92" s="38" t="n">
        <v>44687</v>
      </c>
      <c r="B92" s="39" t="n">
        <v>102585.36</v>
      </c>
      <c r="C92" s="40">
        <f>LN(B92/B91)</f>
        <v/>
      </c>
      <c r="D92" s="41">
        <f>(B92/B91)-1</f>
        <v/>
      </c>
      <c r="E92" s="42">
        <f>C92^2</f>
        <v/>
      </c>
      <c r="F92" s="22" t="inlineStr"/>
    </row>
    <row r="93" ht="16" customHeight="1">
      <c r="A93" s="35" t="n">
        <v>44690</v>
      </c>
      <c r="B93" s="36" t="n">
        <v>104080.76</v>
      </c>
      <c r="C93" s="43">
        <f>LN(B93/B92)</f>
        <v/>
      </c>
      <c r="D93" s="44">
        <f>(B93/B92)-1</f>
        <v/>
      </c>
      <c r="E93" s="45">
        <f>C93^2</f>
        <v/>
      </c>
      <c r="F93" s="26" t="inlineStr"/>
    </row>
    <row r="94" ht="16" customHeight="1">
      <c r="A94" s="38" t="n">
        <v>44691</v>
      </c>
      <c r="B94" s="39" t="n">
        <v>104073.31</v>
      </c>
      <c r="C94" s="40">
        <f>LN(B94/B93)</f>
        <v/>
      </c>
      <c r="D94" s="41">
        <f>(B94/B93)-1</f>
        <v/>
      </c>
      <c r="E94" s="42">
        <f>C94^2</f>
        <v/>
      </c>
      <c r="F94" s="22" t="inlineStr"/>
    </row>
    <row r="95" ht="16" customHeight="1">
      <c r="A95" s="35" t="n">
        <v>44692</v>
      </c>
      <c r="B95" s="36" t="n">
        <v>104415.9</v>
      </c>
      <c r="C95" s="43">
        <f>LN(B95/B94)</f>
        <v/>
      </c>
      <c r="D95" s="44">
        <f>(B95/B94)-1</f>
        <v/>
      </c>
      <c r="E95" s="45">
        <f>C95^2</f>
        <v/>
      </c>
      <c r="F95" s="26" t="inlineStr"/>
    </row>
    <row r="96" ht="16" customHeight="1">
      <c r="A96" s="38" t="n">
        <v>44693</v>
      </c>
      <c r="B96" s="39" t="n">
        <v>104642.27</v>
      </c>
      <c r="C96" s="40">
        <f>LN(B96/B95)</f>
        <v/>
      </c>
      <c r="D96" s="41">
        <f>(B96/B95)-1</f>
        <v/>
      </c>
      <c r="E96" s="42">
        <f>C96^2</f>
        <v/>
      </c>
      <c r="F96" s="22" t="inlineStr"/>
    </row>
    <row r="97" ht="16" customHeight="1">
      <c r="A97" s="35" t="n">
        <v>44694</v>
      </c>
      <c r="B97" s="36" t="n">
        <v>106029.19</v>
      </c>
      <c r="C97" s="43">
        <f>LN(B97/B96)</f>
        <v/>
      </c>
      <c r="D97" s="44">
        <f>(B97/B96)-1</f>
        <v/>
      </c>
      <c r="E97" s="45">
        <f>C97^2</f>
        <v/>
      </c>
      <c r="F97" s="26" t="inlineStr"/>
    </row>
    <row r="98" ht="16" customHeight="1">
      <c r="A98" s="38" t="n">
        <v>44697</v>
      </c>
      <c r="B98" s="39" t="n">
        <v>107188.04</v>
      </c>
      <c r="C98" s="40">
        <f>LN(B98/B97)</f>
        <v/>
      </c>
      <c r="D98" s="41">
        <f>(B98/B97)-1</f>
        <v/>
      </c>
      <c r="E98" s="42">
        <f>C98^2</f>
        <v/>
      </c>
      <c r="F98" s="22" t="inlineStr"/>
    </row>
    <row r="99" ht="16" customHeight="1">
      <c r="A99" s="35" t="n">
        <v>44698</v>
      </c>
      <c r="B99" s="36" t="n">
        <v>107556.79</v>
      </c>
      <c r="C99" s="43">
        <f>LN(B99/B98)</f>
        <v/>
      </c>
      <c r="D99" s="44">
        <f>(B99/B98)-1</f>
        <v/>
      </c>
      <c r="E99" s="45">
        <f>C99^2</f>
        <v/>
      </c>
      <c r="F99" s="26" t="inlineStr"/>
    </row>
    <row r="100" ht="16" customHeight="1">
      <c r="A100" s="38" t="n">
        <v>44699</v>
      </c>
      <c r="B100" s="39" t="n">
        <v>106275.81</v>
      </c>
      <c r="C100" s="40">
        <f>LN(B100/B99)</f>
        <v/>
      </c>
      <c r="D100" s="41">
        <f>(B100/B99)-1</f>
        <v/>
      </c>
      <c r="E100" s="42">
        <f>C100^2</f>
        <v/>
      </c>
      <c r="F100" s="22" t="inlineStr"/>
    </row>
    <row r="101" ht="16" customHeight="1">
      <c r="A101" s="35" t="n">
        <v>44700</v>
      </c>
      <c r="B101" s="36" t="n">
        <v>107450.29</v>
      </c>
      <c r="C101" s="43">
        <f>LN(B101/B100)</f>
        <v/>
      </c>
      <c r="D101" s="44">
        <f>(B101/B100)-1</f>
        <v/>
      </c>
      <c r="E101" s="45">
        <f>C101^2</f>
        <v/>
      </c>
      <c r="F101" s="26" t="inlineStr"/>
    </row>
    <row r="102" ht="16" customHeight="1">
      <c r="A102" s="38" t="n">
        <v>44701</v>
      </c>
      <c r="B102" s="39" t="n">
        <v>107958.93</v>
      </c>
      <c r="C102" s="40">
        <f>LN(B102/B101)</f>
        <v/>
      </c>
      <c r="D102" s="41">
        <f>(B102/B101)-1</f>
        <v/>
      </c>
      <c r="E102" s="42">
        <f>C102^2</f>
        <v/>
      </c>
      <c r="F102" s="22" t="inlineStr"/>
    </row>
    <row r="103" ht="16" customHeight="1">
      <c r="A103" s="35" t="n">
        <v>44704</v>
      </c>
      <c r="B103" s="36" t="n">
        <v>109576.64</v>
      </c>
      <c r="C103" s="43">
        <f>LN(B103/B102)</f>
        <v/>
      </c>
      <c r="D103" s="44">
        <f>(B103/B102)-1</f>
        <v/>
      </c>
      <c r="E103" s="45">
        <f>C103^2</f>
        <v/>
      </c>
      <c r="F103" s="26" t="inlineStr"/>
    </row>
    <row r="104" ht="16" customHeight="1">
      <c r="A104" s="38" t="n">
        <v>44705</v>
      </c>
      <c r="B104" s="39" t="n">
        <v>109553.75</v>
      </c>
      <c r="C104" s="40">
        <f>LN(B104/B103)</f>
        <v/>
      </c>
      <c r="D104" s="41">
        <f>(B104/B103)-1</f>
        <v/>
      </c>
      <c r="E104" s="42">
        <f>C104^2</f>
        <v/>
      </c>
      <c r="F104" s="22" t="inlineStr"/>
    </row>
    <row r="105" ht="16" customHeight="1">
      <c r="A105" s="35" t="n">
        <v>44706</v>
      </c>
      <c r="B105" s="36" t="n">
        <v>112168.53</v>
      </c>
      <c r="C105" s="43">
        <f>LN(B105/B104)</f>
        <v/>
      </c>
      <c r="D105" s="44">
        <f>(B105/B104)-1</f>
        <v/>
      </c>
      <c r="E105" s="45">
        <f>C105^2</f>
        <v/>
      </c>
      <c r="F105" s="26" t="inlineStr"/>
    </row>
    <row r="106" ht="16" customHeight="1">
      <c r="A106" s="38" t="n">
        <v>44707</v>
      </c>
      <c r="B106" s="39" t="n">
        <v>111703.27</v>
      </c>
      <c r="C106" s="40">
        <f>LN(B106/B105)</f>
        <v/>
      </c>
      <c r="D106" s="41">
        <f>(B106/B105)-1</f>
        <v/>
      </c>
      <c r="E106" s="42">
        <f>C106^2</f>
        <v/>
      </c>
      <c r="F106" s="22" t="inlineStr"/>
    </row>
    <row r="107" ht="16" customHeight="1">
      <c r="A107" s="35" t="n">
        <v>44708</v>
      </c>
      <c r="B107" s="36" t="n">
        <v>113876.29</v>
      </c>
      <c r="C107" s="43">
        <f>LN(B107/B106)</f>
        <v/>
      </c>
      <c r="D107" s="44">
        <f>(B107/B106)-1</f>
        <v/>
      </c>
      <c r="E107" s="45">
        <f>C107^2</f>
        <v/>
      </c>
      <c r="F107" s="26" t="inlineStr"/>
    </row>
    <row r="108" ht="16" customHeight="1">
      <c r="A108" s="38" t="n">
        <v>44711</v>
      </c>
      <c r="B108" s="39" t="n">
        <v>114050.82</v>
      </c>
      <c r="C108" s="40">
        <f>LN(B108/B107)</f>
        <v/>
      </c>
      <c r="D108" s="41">
        <f>(B108/B107)-1</f>
        <v/>
      </c>
      <c r="E108" s="42">
        <f>C108^2</f>
        <v/>
      </c>
      <c r="F108" s="22" t="inlineStr"/>
    </row>
    <row r="109" ht="16" customHeight="1">
      <c r="A109" s="35" t="n">
        <v>44712</v>
      </c>
      <c r="B109" s="36" t="n">
        <v>113363.44</v>
      </c>
      <c r="C109" s="43">
        <f>LN(B109/B108)</f>
        <v/>
      </c>
      <c r="D109" s="44">
        <f>(B109/B108)-1</f>
        <v/>
      </c>
      <c r="E109" s="45">
        <f>C109^2</f>
        <v/>
      </c>
      <c r="F109" s="26" t="inlineStr"/>
    </row>
    <row r="110" ht="16" customHeight="1">
      <c r="A110" s="38" t="n">
        <v>44713</v>
      </c>
      <c r="B110" s="39" t="n">
        <v>111855.47</v>
      </c>
      <c r="C110" s="40">
        <f>LN(B110/B109)</f>
        <v/>
      </c>
      <c r="D110" s="41">
        <f>(B110/B109)-1</f>
        <v/>
      </c>
      <c r="E110" s="42">
        <f>C110^2</f>
        <v/>
      </c>
      <c r="F110" s="22" t="inlineStr"/>
    </row>
    <row r="111" ht="16" customHeight="1">
      <c r="A111" s="35" t="n">
        <v>44714</v>
      </c>
      <c r="B111" s="36" t="n">
        <v>111669.68</v>
      </c>
      <c r="C111" s="43">
        <f>LN(B111/B110)</f>
        <v/>
      </c>
      <c r="D111" s="44">
        <f>(B111/B110)-1</f>
        <v/>
      </c>
      <c r="E111" s="45">
        <f>C111^2</f>
        <v/>
      </c>
      <c r="F111" s="26" t="inlineStr"/>
    </row>
    <row r="112" ht="16" customHeight="1">
      <c r="A112" s="38" t="n">
        <v>44715</v>
      </c>
      <c r="B112" s="39" t="n">
        <v>113610.4</v>
      </c>
      <c r="C112" s="40">
        <f>LN(B112/B111)</f>
        <v/>
      </c>
      <c r="D112" s="41">
        <f>(B112/B111)-1</f>
        <v/>
      </c>
      <c r="E112" s="42">
        <f>C112^2</f>
        <v/>
      </c>
      <c r="F112" s="22" t="inlineStr"/>
    </row>
    <row r="113" ht="16" customHeight="1">
      <c r="A113" s="35" t="n">
        <v>44718</v>
      </c>
      <c r="B113" s="36" t="n">
        <v>114746.06</v>
      </c>
      <c r="C113" s="43">
        <f>LN(B113/B112)</f>
        <v/>
      </c>
      <c r="D113" s="44">
        <f>(B113/B112)-1</f>
        <v/>
      </c>
      <c r="E113" s="45">
        <f>C113^2</f>
        <v/>
      </c>
      <c r="F113" s="26" t="inlineStr"/>
    </row>
    <row r="114" ht="16" customHeight="1">
      <c r="A114" s="38" t="n">
        <v>44719</v>
      </c>
      <c r="B114" s="39" t="n">
        <v>115715.91</v>
      </c>
      <c r="C114" s="40">
        <f>LN(B114/B113)</f>
        <v/>
      </c>
      <c r="D114" s="41">
        <f>(B114/B113)-1</f>
        <v/>
      </c>
      <c r="E114" s="42">
        <f>C114^2</f>
        <v/>
      </c>
      <c r="F114" s="22" t="inlineStr"/>
    </row>
    <row r="115" ht="16" customHeight="1">
      <c r="A115" s="35" t="n">
        <v>44720</v>
      </c>
      <c r="B115" s="36" t="n">
        <v>112480.25</v>
      </c>
      <c r="C115" s="43">
        <f>LN(B115/B114)</f>
        <v/>
      </c>
      <c r="D115" s="44">
        <f>(B115/B114)-1</f>
        <v/>
      </c>
      <c r="E115" s="45">
        <f>C115^2</f>
        <v/>
      </c>
      <c r="F115" s="26" t="inlineStr"/>
    </row>
    <row r="116" ht="16" customHeight="1">
      <c r="A116" s="38" t="n">
        <v>44721</v>
      </c>
      <c r="B116" s="39" t="n">
        <v>113461.01</v>
      </c>
      <c r="C116" s="40">
        <f>LN(B116/B115)</f>
        <v/>
      </c>
      <c r="D116" s="41">
        <f>(B116/B115)-1</f>
        <v/>
      </c>
      <c r="E116" s="42">
        <f>C116^2</f>
        <v/>
      </c>
      <c r="F116" s="22" t="inlineStr"/>
    </row>
    <row r="117" ht="16" customHeight="1">
      <c r="A117" s="35" t="n">
        <v>44722</v>
      </c>
      <c r="B117" s="36" t="n">
        <v>114237.48</v>
      </c>
      <c r="C117" s="43">
        <f>LN(B117/B116)</f>
        <v/>
      </c>
      <c r="D117" s="44">
        <f>(B117/B116)-1</f>
        <v/>
      </c>
      <c r="E117" s="45">
        <f>C117^2</f>
        <v/>
      </c>
      <c r="F117" s="26" t="inlineStr"/>
    </row>
    <row r="118" ht="16" customHeight="1">
      <c r="A118" s="38" t="n">
        <v>44725</v>
      </c>
      <c r="B118" s="39" t="n">
        <v>113503.12</v>
      </c>
      <c r="C118" s="40">
        <f>LN(B118/B117)</f>
        <v/>
      </c>
      <c r="D118" s="41">
        <f>(B118/B117)-1</f>
        <v/>
      </c>
      <c r="E118" s="42">
        <f>C118^2</f>
        <v/>
      </c>
      <c r="F118" s="22" t="inlineStr"/>
    </row>
    <row r="119" ht="16" customHeight="1">
      <c r="A119" s="35" t="n">
        <v>44726</v>
      </c>
      <c r="B119" s="36" t="n">
        <v>112668.71</v>
      </c>
      <c r="C119" s="43">
        <f>LN(B119/B118)</f>
        <v/>
      </c>
      <c r="D119" s="44">
        <f>(B119/B118)-1</f>
        <v/>
      </c>
      <c r="E119" s="45">
        <f>C119^2</f>
        <v/>
      </c>
      <c r="F119" s="26" t="inlineStr"/>
    </row>
    <row r="120" ht="16" customHeight="1">
      <c r="A120" s="38" t="n">
        <v>44727</v>
      </c>
      <c r="B120" s="39" t="n">
        <v>112682.49</v>
      </c>
      <c r="C120" s="40">
        <f>LN(B120/B119)</f>
        <v/>
      </c>
      <c r="D120" s="41">
        <f>(B120/B119)-1</f>
        <v/>
      </c>
      <c r="E120" s="42">
        <f>C120^2</f>
        <v/>
      </c>
      <c r="F120" s="22" t="inlineStr"/>
    </row>
    <row r="121" ht="16" customHeight="1">
      <c r="A121" s="35" t="n">
        <v>44728</v>
      </c>
      <c r="B121" s="36" t="n">
        <v>115056.41</v>
      </c>
      <c r="C121" s="43">
        <f>LN(B121/B120)</f>
        <v/>
      </c>
      <c r="D121" s="44">
        <f>(B121/B120)-1</f>
        <v/>
      </c>
      <c r="E121" s="45">
        <f>C121^2</f>
        <v/>
      </c>
      <c r="F121" s="26" t="inlineStr"/>
    </row>
    <row r="122" ht="16" customHeight="1">
      <c r="A122" s="38" t="n">
        <v>44729</v>
      </c>
      <c r="B122" s="39" t="n">
        <v>113625.88</v>
      </c>
      <c r="C122" s="40">
        <f>LN(B122/B121)</f>
        <v/>
      </c>
      <c r="D122" s="41">
        <f>(B122/B121)-1</f>
        <v/>
      </c>
      <c r="E122" s="42">
        <f>C122^2</f>
        <v/>
      </c>
      <c r="F122" s="22" t="inlineStr"/>
    </row>
    <row r="123" ht="16" customHeight="1">
      <c r="A123" s="35" t="n">
        <v>44732</v>
      </c>
      <c r="B123" s="36" t="n">
        <v>107868.33</v>
      </c>
      <c r="C123" s="43">
        <f>LN(B123/B122)</f>
        <v/>
      </c>
      <c r="D123" s="44">
        <f>(B123/B122)-1</f>
        <v/>
      </c>
      <c r="E123" s="45">
        <f>C123^2</f>
        <v/>
      </c>
      <c r="F123" s="26" t="inlineStr">
        <is>
          <t>Crise liquidez</t>
        </is>
      </c>
    </row>
    <row r="124" ht="16" customHeight="1">
      <c r="A124" s="38" t="n">
        <v>44733</v>
      </c>
      <c r="B124" s="39" t="n">
        <v>107332.09</v>
      </c>
      <c r="C124" s="40">
        <f>LN(B124/B123)</f>
        <v/>
      </c>
      <c r="D124" s="41">
        <f>(B124/B123)-1</f>
        <v/>
      </c>
      <c r="E124" s="42">
        <f>C124^2</f>
        <v/>
      </c>
      <c r="F124" s="22" t="inlineStr"/>
    </row>
    <row r="125" ht="16" customHeight="1">
      <c r="A125" s="35" t="n">
        <v>44734</v>
      </c>
      <c r="B125" s="36" t="n">
        <v>109116.82</v>
      </c>
      <c r="C125" s="43">
        <f>LN(B125/B124)</f>
        <v/>
      </c>
      <c r="D125" s="44">
        <f>(B125/B124)-1</f>
        <v/>
      </c>
      <c r="E125" s="45">
        <f>C125^2</f>
        <v/>
      </c>
      <c r="F125" s="26" t="inlineStr"/>
    </row>
    <row r="126" ht="16" customHeight="1">
      <c r="A126" s="38" t="n">
        <v>44735</v>
      </c>
      <c r="B126" s="39" t="n">
        <v>108550.47</v>
      </c>
      <c r="C126" s="40">
        <f>LN(B126/B125)</f>
        <v/>
      </c>
      <c r="D126" s="41">
        <f>(B126/B125)-1</f>
        <v/>
      </c>
      <c r="E126" s="42">
        <f>C126^2</f>
        <v/>
      </c>
      <c r="F126" s="22" t="inlineStr"/>
    </row>
    <row r="127" ht="16" customHeight="1">
      <c r="A127" s="35" t="n">
        <v>44736</v>
      </c>
      <c r="B127" s="36" t="n">
        <v>108093.24</v>
      </c>
      <c r="C127" s="43">
        <f>LN(B127/B126)</f>
        <v/>
      </c>
      <c r="D127" s="44">
        <f>(B127/B126)-1</f>
        <v/>
      </c>
      <c r="E127" s="45">
        <f>C127^2</f>
        <v/>
      </c>
      <c r="F127" s="26" t="inlineStr"/>
    </row>
    <row r="128" ht="16" customHeight="1">
      <c r="A128" s="38" t="n">
        <v>44739</v>
      </c>
      <c r="B128" s="39" t="n">
        <v>108236.38</v>
      </c>
      <c r="C128" s="40">
        <f>LN(B128/B127)</f>
        <v/>
      </c>
      <c r="D128" s="41">
        <f>(B128/B127)-1</f>
        <v/>
      </c>
      <c r="E128" s="42">
        <f>C128^2</f>
        <v/>
      </c>
      <c r="F128" s="22" t="inlineStr"/>
    </row>
    <row r="129" ht="16" customHeight="1">
      <c r="A129" s="35" t="n">
        <v>44740</v>
      </c>
      <c r="B129" s="36" t="n">
        <v>106652.09</v>
      </c>
      <c r="C129" s="43">
        <f>LN(B129/B128)</f>
        <v/>
      </c>
      <c r="D129" s="44">
        <f>(B129/B128)-1</f>
        <v/>
      </c>
      <c r="E129" s="45">
        <f>C129^2</f>
        <v/>
      </c>
      <c r="F129" s="26" t="inlineStr"/>
    </row>
    <row r="130" ht="16" customHeight="1">
      <c r="A130" s="38" t="n">
        <v>44741</v>
      </c>
      <c r="B130" s="39" t="n">
        <v>106949.99</v>
      </c>
      <c r="C130" s="40">
        <f>LN(B130/B129)</f>
        <v/>
      </c>
      <c r="D130" s="41">
        <f>(B130/B129)-1</f>
        <v/>
      </c>
      <c r="E130" s="42">
        <f>C130^2</f>
        <v/>
      </c>
      <c r="F130" s="22" t="inlineStr"/>
    </row>
    <row r="131" ht="16" customHeight="1">
      <c r="A131" s="35" t="n">
        <v>44742</v>
      </c>
      <c r="B131" s="36" t="n">
        <v>105424.59</v>
      </c>
      <c r="C131" s="43">
        <f>LN(B131/B130)</f>
        <v/>
      </c>
      <c r="D131" s="44">
        <f>(B131/B130)-1</f>
        <v/>
      </c>
      <c r="E131" s="45">
        <f>C131^2</f>
        <v/>
      </c>
      <c r="F131" s="26" t="inlineStr"/>
    </row>
    <row r="132" ht="16" customHeight="1">
      <c r="A132" s="38" t="n">
        <v>44743</v>
      </c>
      <c r="B132" s="39" t="n">
        <v>106566.4</v>
      </c>
      <c r="C132" s="40">
        <f>LN(B132/B131)</f>
        <v/>
      </c>
      <c r="D132" s="41">
        <f>(B132/B131)-1</f>
        <v/>
      </c>
      <c r="E132" s="42">
        <f>C132^2</f>
        <v/>
      </c>
      <c r="F132" s="22" t="inlineStr"/>
    </row>
    <row r="133" ht="16" customHeight="1">
      <c r="A133" s="35" t="n">
        <v>44746</v>
      </c>
      <c r="B133" s="36" t="n">
        <v>106586.45</v>
      </c>
      <c r="C133" s="43">
        <f>LN(B133/B132)</f>
        <v/>
      </c>
      <c r="D133" s="44">
        <f>(B133/B132)-1</f>
        <v/>
      </c>
      <c r="E133" s="45">
        <f>C133^2</f>
        <v/>
      </c>
      <c r="F133" s="26" t="inlineStr"/>
    </row>
    <row r="134" ht="16" customHeight="1">
      <c r="A134" s="38" t="n">
        <v>44747</v>
      </c>
      <c r="B134" s="39" t="n">
        <v>109563.86</v>
      </c>
      <c r="C134" s="40">
        <f>LN(B134/B133)</f>
        <v/>
      </c>
      <c r="D134" s="41">
        <f>(B134/B133)-1</f>
        <v/>
      </c>
      <c r="E134" s="42">
        <f>C134^2</f>
        <v/>
      </c>
      <c r="F134" s="22" t="inlineStr"/>
    </row>
    <row r="135" ht="16" customHeight="1">
      <c r="A135" s="35" t="n">
        <v>44748</v>
      </c>
      <c r="B135" s="36" t="n">
        <v>109950.21</v>
      </c>
      <c r="C135" s="43">
        <f>LN(B135/B134)</f>
        <v/>
      </c>
      <c r="D135" s="44">
        <f>(B135/B134)-1</f>
        <v/>
      </c>
      <c r="E135" s="45">
        <f>C135^2</f>
        <v/>
      </c>
      <c r="F135" s="26" t="inlineStr"/>
    </row>
    <row r="136" ht="16" customHeight="1">
      <c r="A136" s="38" t="n">
        <v>44749</v>
      </c>
      <c r="B136" s="39" t="n">
        <v>111783.72</v>
      </c>
      <c r="C136" s="40">
        <f>LN(B136/B135)</f>
        <v/>
      </c>
      <c r="D136" s="41">
        <f>(B136/B135)-1</f>
        <v/>
      </c>
      <c r="E136" s="42">
        <f>C136^2</f>
        <v/>
      </c>
      <c r="F136" s="22" t="inlineStr"/>
    </row>
    <row r="137" ht="16" customHeight="1">
      <c r="A137" s="35" t="n">
        <v>44750</v>
      </c>
      <c r="B137" s="36" t="n">
        <v>110065.62</v>
      </c>
      <c r="C137" s="43">
        <f>LN(B137/B136)</f>
        <v/>
      </c>
      <c r="D137" s="44">
        <f>(B137/B136)-1</f>
        <v/>
      </c>
      <c r="E137" s="45">
        <f>C137^2</f>
        <v/>
      </c>
      <c r="F137" s="26" t="inlineStr"/>
    </row>
    <row r="138" ht="16" customHeight="1">
      <c r="A138" s="38" t="n">
        <v>44753</v>
      </c>
      <c r="B138" s="39" t="n">
        <v>109920.9</v>
      </c>
      <c r="C138" s="40">
        <f>LN(B138/B137)</f>
        <v/>
      </c>
      <c r="D138" s="41">
        <f>(B138/B137)-1</f>
        <v/>
      </c>
      <c r="E138" s="42">
        <f>C138^2</f>
        <v/>
      </c>
      <c r="F138" s="22" t="inlineStr"/>
    </row>
    <row r="139" ht="16" customHeight="1">
      <c r="A139" s="35" t="n">
        <v>44754</v>
      </c>
      <c r="B139" s="36" t="n">
        <v>110364.53</v>
      </c>
      <c r="C139" s="43">
        <f>LN(B139/B138)</f>
        <v/>
      </c>
      <c r="D139" s="44">
        <f>(B139/B138)-1</f>
        <v/>
      </c>
      <c r="E139" s="45">
        <f>C139^2</f>
        <v/>
      </c>
      <c r="F139" s="26" t="inlineStr"/>
    </row>
    <row r="140" ht="16" customHeight="1">
      <c r="A140" s="38" t="n">
        <v>44755</v>
      </c>
      <c r="B140" s="39" t="n">
        <v>112717.81</v>
      </c>
      <c r="C140" s="40">
        <f>LN(B140/B139)</f>
        <v/>
      </c>
      <c r="D140" s="41">
        <f>(B140/B139)-1</f>
        <v/>
      </c>
      <c r="E140" s="42">
        <f>C140^2</f>
        <v/>
      </c>
      <c r="F140" s="22" t="inlineStr"/>
    </row>
    <row r="141" ht="16" customHeight="1">
      <c r="A141" s="35" t="n">
        <v>44756</v>
      </c>
      <c r="B141" s="36" t="n">
        <v>110483.53</v>
      </c>
      <c r="C141" s="43">
        <f>LN(B141/B140)</f>
        <v/>
      </c>
      <c r="D141" s="44">
        <f>(B141/B140)-1</f>
        <v/>
      </c>
      <c r="E141" s="45">
        <f>C141^2</f>
        <v/>
      </c>
      <c r="F141" s="26" t="inlineStr"/>
    </row>
    <row r="142" ht="16" customHeight="1">
      <c r="A142" s="38" t="n">
        <v>44757</v>
      </c>
      <c r="B142" s="39" t="n">
        <v>111821.51</v>
      </c>
      <c r="C142" s="40">
        <f>LN(B142/B141)</f>
        <v/>
      </c>
      <c r="D142" s="41">
        <f>(B142/B141)-1</f>
        <v/>
      </c>
      <c r="E142" s="42">
        <f>C142^2</f>
        <v/>
      </c>
      <c r="F142" s="22" t="inlineStr"/>
    </row>
    <row r="143" ht="16" customHeight="1">
      <c r="A143" s="35" t="n">
        <v>44760</v>
      </c>
      <c r="B143" s="36" t="n">
        <v>112634.74</v>
      </c>
      <c r="C143" s="43">
        <f>LN(B143/B142)</f>
        <v/>
      </c>
      <c r="D143" s="44">
        <f>(B143/B142)-1</f>
        <v/>
      </c>
      <c r="E143" s="45">
        <f>C143^2</f>
        <v/>
      </c>
      <c r="F143" s="26" t="inlineStr"/>
    </row>
    <row r="144" ht="16" customHeight="1">
      <c r="A144" s="38" t="n">
        <v>44761</v>
      </c>
      <c r="B144" s="39" t="n">
        <v>114743.91</v>
      </c>
      <c r="C144" s="40">
        <f>LN(B144/B143)</f>
        <v/>
      </c>
      <c r="D144" s="41">
        <f>(B144/B143)-1</f>
        <v/>
      </c>
      <c r="E144" s="42">
        <f>C144^2</f>
        <v/>
      </c>
      <c r="F144" s="22" t="inlineStr"/>
    </row>
    <row r="145" ht="16" customHeight="1">
      <c r="A145" s="35" t="n">
        <v>44762</v>
      </c>
      <c r="B145" s="36" t="n">
        <v>115746.38</v>
      </c>
      <c r="C145" s="43">
        <f>LN(B145/B144)</f>
        <v/>
      </c>
      <c r="D145" s="44">
        <f>(B145/B144)-1</f>
        <v/>
      </c>
      <c r="E145" s="45">
        <f>C145^2</f>
        <v/>
      </c>
      <c r="F145" s="26" t="inlineStr"/>
    </row>
    <row r="146" ht="16" customHeight="1">
      <c r="A146" s="38" t="n">
        <v>44763</v>
      </c>
      <c r="B146" s="39" t="n">
        <v>115836.1</v>
      </c>
      <c r="C146" s="40">
        <f>LN(B146/B145)</f>
        <v/>
      </c>
      <c r="D146" s="41">
        <f>(B146/B145)-1</f>
        <v/>
      </c>
      <c r="E146" s="42">
        <f>C146^2</f>
        <v/>
      </c>
      <c r="F146" s="22" t="inlineStr"/>
    </row>
    <row r="147" ht="16" customHeight="1">
      <c r="A147" s="35" t="n">
        <v>44764</v>
      </c>
      <c r="B147" s="36" t="n">
        <v>115130.52</v>
      </c>
      <c r="C147" s="43">
        <f>LN(B147/B146)</f>
        <v/>
      </c>
      <c r="D147" s="44">
        <f>(B147/B146)-1</f>
        <v/>
      </c>
      <c r="E147" s="45">
        <f>C147^2</f>
        <v/>
      </c>
      <c r="F147" s="26" t="inlineStr"/>
    </row>
    <row r="148" ht="16" customHeight="1">
      <c r="A148" s="38" t="n">
        <v>44767</v>
      </c>
      <c r="B148" s="39" t="n">
        <v>113435.94</v>
      </c>
      <c r="C148" s="40">
        <f>LN(B148/B147)</f>
        <v/>
      </c>
      <c r="D148" s="41">
        <f>(B148/B147)-1</f>
        <v/>
      </c>
      <c r="E148" s="42">
        <f>C148^2</f>
        <v/>
      </c>
      <c r="F148" s="22" t="inlineStr"/>
    </row>
    <row r="149" ht="16" customHeight="1">
      <c r="A149" s="35" t="n">
        <v>44768</v>
      </c>
      <c r="B149" s="36" t="n">
        <v>113719.32</v>
      </c>
      <c r="C149" s="43">
        <f>LN(B149/B148)</f>
        <v/>
      </c>
      <c r="D149" s="44">
        <f>(B149/B148)-1</f>
        <v/>
      </c>
      <c r="E149" s="45">
        <f>C149^2</f>
        <v/>
      </c>
      <c r="F149" s="26" t="inlineStr"/>
    </row>
    <row r="150" ht="16" customHeight="1">
      <c r="A150" s="38" t="n">
        <v>44769</v>
      </c>
      <c r="B150" s="39" t="n">
        <v>113475.05</v>
      </c>
      <c r="C150" s="40">
        <f>LN(B150/B149)</f>
        <v/>
      </c>
      <c r="D150" s="41">
        <f>(B150/B149)-1</f>
        <v/>
      </c>
      <c r="E150" s="42">
        <f>C150^2</f>
        <v/>
      </c>
      <c r="F150" s="22" t="inlineStr"/>
    </row>
    <row r="151" ht="16" customHeight="1">
      <c r="A151" s="35" t="n">
        <v>44770</v>
      </c>
      <c r="B151" s="36" t="n">
        <v>116277.11</v>
      </c>
      <c r="C151" s="43">
        <f>LN(B151/B150)</f>
        <v/>
      </c>
      <c r="D151" s="44">
        <f>(B151/B150)-1</f>
        <v/>
      </c>
      <c r="E151" s="45">
        <f>C151^2</f>
        <v/>
      </c>
      <c r="F151" s="26" t="inlineStr"/>
    </row>
    <row r="152" ht="16" customHeight="1">
      <c r="A152" s="38" t="n">
        <v>44771</v>
      </c>
      <c r="B152" s="39" t="n">
        <v>115444.97</v>
      </c>
      <c r="C152" s="40">
        <f>LN(B152/B151)</f>
        <v/>
      </c>
      <c r="D152" s="41">
        <f>(B152/B151)-1</f>
        <v/>
      </c>
      <c r="E152" s="42">
        <f>C152^2</f>
        <v/>
      </c>
      <c r="F152" s="22" t="inlineStr"/>
    </row>
    <row r="153" ht="16" customHeight="1">
      <c r="A153" s="35" t="n">
        <v>44774</v>
      </c>
      <c r="B153" s="36" t="n">
        <v>115907.06</v>
      </c>
      <c r="C153" s="43">
        <f>LN(B153/B152)</f>
        <v/>
      </c>
      <c r="D153" s="44">
        <f>(B153/B152)-1</f>
        <v/>
      </c>
      <c r="E153" s="45">
        <f>C153^2</f>
        <v/>
      </c>
      <c r="F153" s="26" t="inlineStr"/>
    </row>
    <row r="154" ht="16" customHeight="1">
      <c r="A154" s="38" t="n">
        <v>44775</v>
      </c>
      <c r="B154" s="39" t="n">
        <v>113762.24</v>
      </c>
      <c r="C154" s="40">
        <f>LN(B154/B153)</f>
        <v/>
      </c>
      <c r="D154" s="41">
        <f>(B154/B153)-1</f>
        <v/>
      </c>
      <c r="E154" s="42">
        <f>C154^2</f>
        <v/>
      </c>
      <c r="F154" s="22" t="inlineStr"/>
    </row>
    <row r="155" ht="16" customHeight="1">
      <c r="A155" s="35" t="n">
        <v>44776</v>
      </c>
      <c r="B155" s="36" t="n">
        <v>113240.64</v>
      </c>
      <c r="C155" s="43">
        <f>LN(B155/B154)</f>
        <v/>
      </c>
      <c r="D155" s="44">
        <f>(B155/B154)-1</f>
        <v/>
      </c>
      <c r="E155" s="45">
        <f>C155^2</f>
        <v/>
      </c>
      <c r="F155" s="26" t="inlineStr"/>
    </row>
    <row r="156" ht="16" customHeight="1">
      <c r="A156" s="38" t="n">
        <v>44777</v>
      </c>
      <c r="B156" s="39" t="n">
        <v>113613.11</v>
      </c>
      <c r="C156" s="40">
        <f>LN(B156/B155)</f>
        <v/>
      </c>
      <c r="D156" s="41">
        <f>(B156/B155)-1</f>
        <v/>
      </c>
      <c r="E156" s="42">
        <f>C156^2</f>
        <v/>
      </c>
      <c r="F156" s="22" t="inlineStr"/>
    </row>
    <row r="157" ht="16" customHeight="1">
      <c r="A157" s="35" t="n">
        <v>44778</v>
      </c>
      <c r="B157" s="36" t="n">
        <v>114759.25</v>
      </c>
      <c r="C157" s="43">
        <f>LN(B157/B156)</f>
        <v/>
      </c>
      <c r="D157" s="44">
        <f>(B157/B156)-1</f>
        <v/>
      </c>
      <c r="E157" s="45">
        <f>C157^2</f>
        <v/>
      </c>
      <c r="F157" s="26" t="inlineStr"/>
    </row>
    <row r="158" ht="16" customHeight="1">
      <c r="A158" s="38" t="n">
        <v>44781</v>
      </c>
      <c r="B158" s="39" t="n">
        <v>116788.39</v>
      </c>
      <c r="C158" s="40">
        <f>LN(B158/B157)</f>
        <v/>
      </c>
      <c r="D158" s="41">
        <f>(B158/B157)-1</f>
        <v/>
      </c>
      <c r="E158" s="42">
        <f>C158^2</f>
        <v/>
      </c>
      <c r="F158" s="22" t="inlineStr"/>
    </row>
    <row r="159" ht="16" customHeight="1">
      <c r="A159" s="35" t="n">
        <v>44782</v>
      </c>
      <c r="B159" s="36" t="n">
        <v>116744.04</v>
      </c>
      <c r="C159" s="43">
        <f>LN(B159/B158)</f>
        <v/>
      </c>
      <c r="D159" s="44">
        <f>(B159/B158)-1</f>
        <v/>
      </c>
      <c r="E159" s="45">
        <f>C159^2</f>
        <v/>
      </c>
      <c r="F159" s="26" t="inlineStr"/>
    </row>
    <row r="160" ht="16" customHeight="1">
      <c r="A160" s="38" t="n">
        <v>44783</v>
      </c>
      <c r="B160" s="39" t="n">
        <v>115206.58</v>
      </c>
      <c r="C160" s="40">
        <f>LN(B160/B159)</f>
        <v/>
      </c>
      <c r="D160" s="41">
        <f>(B160/B159)-1</f>
        <v/>
      </c>
      <c r="E160" s="42">
        <f>C160^2</f>
        <v/>
      </c>
      <c r="F160" s="22" t="inlineStr"/>
    </row>
    <row r="161" ht="16" customHeight="1">
      <c r="A161" s="35" t="n">
        <v>44784</v>
      </c>
      <c r="B161" s="36" t="n">
        <v>115858.67</v>
      </c>
      <c r="C161" s="43">
        <f>LN(B161/B160)</f>
        <v/>
      </c>
      <c r="D161" s="44">
        <f>(B161/B160)-1</f>
        <v/>
      </c>
      <c r="E161" s="45">
        <f>C161^2</f>
        <v/>
      </c>
      <c r="F161" s="26" t="inlineStr"/>
    </row>
    <row r="162" ht="16" customHeight="1">
      <c r="A162" s="38" t="n">
        <v>44785</v>
      </c>
      <c r="B162" s="39" t="n">
        <v>116597.16</v>
      </c>
      <c r="C162" s="40">
        <f>LN(B162/B161)</f>
        <v/>
      </c>
      <c r="D162" s="41">
        <f>(B162/B161)-1</f>
        <v/>
      </c>
      <c r="E162" s="42">
        <f>C162^2</f>
        <v/>
      </c>
      <c r="F162" s="22" t="inlineStr"/>
    </row>
    <row r="163" ht="16" customHeight="1">
      <c r="A163" s="35" t="n">
        <v>44788</v>
      </c>
      <c r="B163" s="36" t="n">
        <v>117304.7</v>
      </c>
      <c r="C163" s="43">
        <f>LN(B163/B162)</f>
        <v/>
      </c>
      <c r="D163" s="44">
        <f>(B163/B162)-1</f>
        <v/>
      </c>
      <c r="E163" s="45">
        <f>C163^2</f>
        <v/>
      </c>
      <c r="F163" s="26" t="inlineStr"/>
    </row>
    <row r="164" ht="16" customHeight="1">
      <c r="A164" s="38" t="n">
        <v>44789</v>
      </c>
      <c r="B164" s="39" t="n">
        <v>116340.52</v>
      </c>
      <c r="C164" s="40">
        <f>LN(B164/B163)</f>
        <v/>
      </c>
      <c r="D164" s="41">
        <f>(B164/B163)-1</f>
        <v/>
      </c>
      <c r="E164" s="42">
        <f>C164^2</f>
        <v/>
      </c>
      <c r="F164" s="22" t="inlineStr"/>
    </row>
    <row r="165" ht="16" customHeight="1">
      <c r="A165" s="35" t="n">
        <v>44790</v>
      </c>
      <c r="B165" s="36" t="n">
        <v>117951.32</v>
      </c>
      <c r="C165" s="43">
        <f>LN(B165/B164)</f>
        <v/>
      </c>
      <c r="D165" s="44">
        <f>(B165/B164)-1</f>
        <v/>
      </c>
      <c r="E165" s="45">
        <f>C165^2</f>
        <v/>
      </c>
      <c r="F165" s="26" t="inlineStr"/>
    </row>
    <row r="166" ht="16" customHeight="1">
      <c r="A166" s="38" t="n">
        <v>44791</v>
      </c>
      <c r="B166" s="39" t="n">
        <v>118093.51</v>
      </c>
      <c r="C166" s="40">
        <f>LN(B166/B165)</f>
        <v/>
      </c>
      <c r="D166" s="41">
        <f>(B166/B165)-1</f>
        <v/>
      </c>
      <c r="E166" s="42">
        <f>C166^2</f>
        <v/>
      </c>
      <c r="F166" s="22" t="inlineStr"/>
    </row>
    <row r="167" ht="16" customHeight="1">
      <c r="A167" s="35" t="n">
        <v>44792</v>
      </c>
      <c r="B167" s="36" t="n">
        <v>119107.29</v>
      </c>
      <c r="C167" s="43">
        <f>LN(B167/B166)</f>
        <v/>
      </c>
      <c r="D167" s="44">
        <f>(B167/B166)-1</f>
        <v/>
      </c>
      <c r="E167" s="45">
        <f>C167^2</f>
        <v/>
      </c>
      <c r="F167" s="26" t="inlineStr"/>
    </row>
    <row r="168" ht="16" customHeight="1">
      <c r="A168" s="38" t="n">
        <v>44795</v>
      </c>
      <c r="B168" s="39" t="n">
        <v>120960.44</v>
      </c>
      <c r="C168" s="40">
        <f>LN(B168/B167)</f>
        <v/>
      </c>
      <c r="D168" s="41">
        <f>(B168/B167)-1</f>
        <v/>
      </c>
      <c r="E168" s="42">
        <f>C168^2</f>
        <v/>
      </c>
      <c r="F168" s="22" t="inlineStr"/>
    </row>
    <row r="169" ht="16" customHeight="1">
      <c r="A169" s="35" t="n">
        <v>44796</v>
      </c>
      <c r="B169" s="36" t="n">
        <v>121866.33</v>
      </c>
      <c r="C169" s="43">
        <f>LN(B169/B168)</f>
        <v/>
      </c>
      <c r="D169" s="44">
        <f>(B169/B168)-1</f>
        <v/>
      </c>
      <c r="E169" s="45">
        <f>C169^2</f>
        <v/>
      </c>
      <c r="F169" s="26" t="inlineStr"/>
    </row>
    <row r="170" ht="16" customHeight="1">
      <c r="A170" s="38" t="n">
        <v>44797</v>
      </c>
      <c r="B170" s="39" t="n">
        <v>122304.4</v>
      </c>
      <c r="C170" s="40">
        <f>LN(B170/B169)</f>
        <v/>
      </c>
      <c r="D170" s="41">
        <f>(B170/B169)-1</f>
        <v/>
      </c>
      <c r="E170" s="42">
        <f>C170^2</f>
        <v/>
      </c>
      <c r="F170" s="22" t="inlineStr"/>
    </row>
    <row r="171" ht="16" customHeight="1">
      <c r="A171" s="35" t="n">
        <v>44798</v>
      </c>
      <c r="B171" s="36" t="n">
        <v>125523.95</v>
      </c>
      <c r="C171" s="43">
        <f>LN(B171/B170)</f>
        <v/>
      </c>
      <c r="D171" s="44">
        <f>(B171/B170)-1</f>
        <v/>
      </c>
      <c r="E171" s="45">
        <f>C171^2</f>
        <v/>
      </c>
      <c r="F171" s="26" t="inlineStr"/>
    </row>
    <row r="172" ht="16" customHeight="1">
      <c r="A172" s="38" t="n">
        <v>44799</v>
      </c>
      <c r="B172" s="39" t="n">
        <v>125910.46</v>
      </c>
      <c r="C172" s="40">
        <f>LN(B172/B171)</f>
        <v/>
      </c>
      <c r="D172" s="41">
        <f>(B172/B171)-1</f>
        <v/>
      </c>
      <c r="E172" s="42">
        <f>C172^2</f>
        <v/>
      </c>
      <c r="F172" s="22" t="inlineStr"/>
    </row>
    <row r="173" ht="16" customHeight="1">
      <c r="A173" s="35" t="n">
        <v>44802</v>
      </c>
      <c r="B173" s="36" t="n">
        <v>125482.89</v>
      </c>
      <c r="C173" s="43">
        <f>LN(B173/B172)</f>
        <v/>
      </c>
      <c r="D173" s="44">
        <f>(B173/B172)-1</f>
        <v/>
      </c>
      <c r="E173" s="45">
        <f>C173^2</f>
        <v/>
      </c>
      <c r="F173" s="26" t="inlineStr"/>
    </row>
    <row r="174" ht="16" customHeight="1">
      <c r="A174" s="38" t="n">
        <v>44803</v>
      </c>
      <c r="B174" s="39" t="n">
        <v>125670.45</v>
      </c>
      <c r="C174" s="40">
        <f>LN(B174/B173)</f>
        <v/>
      </c>
      <c r="D174" s="41">
        <f>(B174/B173)-1</f>
        <v/>
      </c>
      <c r="E174" s="42">
        <f>C174^2</f>
        <v/>
      </c>
      <c r="F174" s="22" t="inlineStr"/>
    </row>
    <row r="175" ht="16" customHeight="1">
      <c r="A175" s="35" t="n">
        <v>44804</v>
      </c>
      <c r="B175" s="36" t="n">
        <v>127945.73</v>
      </c>
      <c r="C175" s="43">
        <f>LN(B175/B174)</f>
        <v/>
      </c>
      <c r="D175" s="44">
        <f>(B175/B174)-1</f>
        <v/>
      </c>
      <c r="E175" s="45">
        <f>C175^2</f>
        <v/>
      </c>
      <c r="F175" s="26" t="inlineStr"/>
    </row>
    <row r="176" ht="16" customHeight="1">
      <c r="A176" s="38" t="n">
        <v>44805</v>
      </c>
      <c r="B176" s="39" t="n">
        <v>128147.35</v>
      </c>
      <c r="C176" s="40">
        <f>LN(B176/B175)</f>
        <v/>
      </c>
      <c r="D176" s="41">
        <f>(B176/B175)-1</f>
        <v/>
      </c>
      <c r="E176" s="42">
        <f>C176^2</f>
        <v/>
      </c>
      <c r="F176" s="22" t="inlineStr"/>
    </row>
    <row r="177" ht="16" customHeight="1">
      <c r="A177" s="35" t="n">
        <v>44806</v>
      </c>
      <c r="B177" s="36" t="n">
        <v>128967.87</v>
      </c>
      <c r="C177" s="43">
        <f>LN(B177/B176)</f>
        <v/>
      </c>
      <c r="D177" s="44">
        <f>(B177/B176)-1</f>
        <v/>
      </c>
      <c r="E177" s="45">
        <f>C177^2</f>
        <v/>
      </c>
      <c r="F177" s="26" t="inlineStr"/>
    </row>
    <row r="178" ht="16" customHeight="1">
      <c r="A178" s="38" t="n">
        <v>44809</v>
      </c>
      <c r="B178" s="39" t="n">
        <v>130851.37</v>
      </c>
      <c r="C178" s="40">
        <f>LN(B178/B177)</f>
        <v/>
      </c>
      <c r="D178" s="41">
        <f>(B178/B177)-1</f>
        <v/>
      </c>
      <c r="E178" s="42">
        <f>C178^2</f>
        <v/>
      </c>
      <c r="F178" s="22" t="inlineStr"/>
    </row>
    <row r="179" ht="16" customHeight="1">
      <c r="A179" s="35" t="n">
        <v>44810</v>
      </c>
      <c r="B179" s="36" t="n">
        <v>130068.05</v>
      </c>
      <c r="C179" s="43">
        <f>LN(B179/B178)</f>
        <v/>
      </c>
      <c r="D179" s="44">
        <f>(B179/B178)-1</f>
        <v/>
      </c>
      <c r="E179" s="45">
        <f>C179^2</f>
        <v/>
      </c>
      <c r="F179" s="26" t="inlineStr"/>
    </row>
    <row r="180" ht="16" customHeight="1">
      <c r="A180" s="38" t="n">
        <v>44811</v>
      </c>
      <c r="B180" s="39" t="n">
        <v>127420.03</v>
      </c>
      <c r="C180" s="40">
        <f>LN(B180/B179)</f>
        <v/>
      </c>
      <c r="D180" s="41">
        <f>(B180/B179)-1</f>
        <v/>
      </c>
      <c r="E180" s="42">
        <f>C180^2</f>
        <v/>
      </c>
      <c r="F180" s="22" t="inlineStr"/>
    </row>
    <row r="181" ht="16" customHeight="1">
      <c r="A181" s="35" t="n">
        <v>44812</v>
      </c>
      <c r="B181" s="36" t="n">
        <v>127897.87</v>
      </c>
      <c r="C181" s="43">
        <f>LN(B181/B180)</f>
        <v/>
      </c>
      <c r="D181" s="44">
        <f>(B181/B180)-1</f>
        <v/>
      </c>
      <c r="E181" s="45">
        <f>C181^2</f>
        <v/>
      </c>
      <c r="F181" s="26" t="inlineStr"/>
    </row>
    <row r="182" ht="16" customHeight="1">
      <c r="A182" s="38" t="n">
        <v>44813</v>
      </c>
      <c r="B182" s="39" t="n">
        <v>128270.19</v>
      </c>
      <c r="C182" s="40">
        <f>LN(B182/B181)</f>
        <v/>
      </c>
      <c r="D182" s="41">
        <f>(B182/B181)-1</f>
        <v/>
      </c>
      <c r="E182" s="42">
        <f>C182^2</f>
        <v/>
      </c>
      <c r="F182" s="22" t="inlineStr"/>
    </row>
    <row r="183" ht="16" customHeight="1">
      <c r="A183" s="35" t="n">
        <v>44816</v>
      </c>
      <c r="B183" s="36" t="n">
        <v>134040.09</v>
      </c>
      <c r="C183" s="43">
        <f>LN(B183/B182)</f>
        <v/>
      </c>
      <c r="D183" s="44">
        <f>(B183/B182)-1</f>
        <v/>
      </c>
      <c r="E183" s="45">
        <f>C183^2</f>
        <v/>
      </c>
      <c r="F183" s="26" t="inlineStr"/>
    </row>
    <row r="184" ht="16" customHeight="1">
      <c r="A184" s="38" t="n">
        <v>44817</v>
      </c>
      <c r="B184" s="39" t="n">
        <v>133085.64</v>
      </c>
      <c r="C184" s="40">
        <f>LN(B184/B183)</f>
        <v/>
      </c>
      <c r="D184" s="41">
        <f>(B184/B183)-1</f>
        <v/>
      </c>
      <c r="E184" s="42">
        <f>C184^2</f>
        <v/>
      </c>
      <c r="F184" s="22" t="inlineStr"/>
    </row>
    <row r="185" ht="16" customHeight="1">
      <c r="A185" s="35" t="n">
        <v>44818</v>
      </c>
      <c r="B185" s="36" t="n">
        <v>134504.26</v>
      </c>
      <c r="C185" s="43">
        <f>LN(B185/B184)</f>
        <v/>
      </c>
      <c r="D185" s="44">
        <f>(B185/B184)-1</f>
        <v/>
      </c>
      <c r="E185" s="45">
        <f>C185^2</f>
        <v/>
      </c>
      <c r="F185" s="26" t="inlineStr"/>
    </row>
    <row r="186" ht="16" customHeight="1">
      <c r="A186" s="38" t="n">
        <v>44819</v>
      </c>
      <c r="B186" s="39" t="n">
        <v>135508.81</v>
      </c>
      <c r="C186" s="40">
        <f>LN(B186/B185)</f>
        <v/>
      </c>
      <c r="D186" s="41">
        <f>(B186/B185)-1</f>
        <v/>
      </c>
      <c r="E186" s="42">
        <f>C186^2</f>
        <v/>
      </c>
      <c r="F186" s="22" t="inlineStr"/>
    </row>
    <row r="187" ht="16" customHeight="1">
      <c r="A187" s="35" t="n">
        <v>44820</v>
      </c>
      <c r="B187" s="36" t="n">
        <v>133920.55</v>
      </c>
      <c r="C187" s="43">
        <f>LN(B187/B186)</f>
        <v/>
      </c>
      <c r="D187" s="44">
        <f>(B187/B186)-1</f>
        <v/>
      </c>
      <c r="E187" s="45">
        <f>C187^2</f>
        <v/>
      </c>
      <c r="F187" s="26" t="inlineStr"/>
    </row>
    <row r="188" ht="16" customHeight="1">
      <c r="A188" s="38" t="n">
        <v>44823</v>
      </c>
      <c r="B188" s="39" t="n">
        <v>134776.16</v>
      </c>
      <c r="C188" s="40">
        <f>LN(B188/B187)</f>
        <v/>
      </c>
      <c r="D188" s="41">
        <f>(B188/B187)-1</f>
        <v/>
      </c>
      <c r="E188" s="42">
        <f>C188^2</f>
        <v/>
      </c>
      <c r="F188" s="22" t="inlineStr"/>
    </row>
    <row r="189" ht="16" customHeight="1">
      <c r="A189" s="35" t="n">
        <v>44824</v>
      </c>
      <c r="B189" s="36" t="n">
        <v>134479.54</v>
      </c>
      <c r="C189" s="43">
        <f>LN(B189/B188)</f>
        <v/>
      </c>
      <c r="D189" s="44">
        <f>(B189/B188)-1</f>
        <v/>
      </c>
      <c r="E189" s="45">
        <f>C189^2</f>
        <v/>
      </c>
      <c r="F189" s="26" t="inlineStr"/>
    </row>
    <row r="190" ht="16" customHeight="1">
      <c r="A190" s="38" t="n">
        <v>44825</v>
      </c>
      <c r="B190" s="39" t="n">
        <v>132127.29</v>
      </c>
      <c r="C190" s="40">
        <f>LN(B190/B189)</f>
        <v/>
      </c>
      <c r="D190" s="41">
        <f>(B190/B189)-1</f>
        <v/>
      </c>
      <c r="E190" s="42">
        <f>C190^2</f>
        <v/>
      </c>
      <c r="F190" s="22" t="inlineStr"/>
    </row>
    <row r="191" ht="16" customHeight="1">
      <c r="A191" s="35" t="n">
        <v>44826</v>
      </c>
      <c r="B191" s="36" t="n">
        <v>132867.34</v>
      </c>
      <c r="C191" s="43">
        <f>LN(B191/B190)</f>
        <v/>
      </c>
      <c r="D191" s="44">
        <f>(B191/B190)-1</f>
        <v/>
      </c>
      <c r="E191" s="45">
        <f>C191^2</f>
        <v/>
      </c>
      <c r="F191" s="26" t="inlineStr"/>
    </row>
    <row r="192" ht="16" customHeight="1">
      <c r="A192" s="38" t="n">
        <v>44827</v>
      </c>
      <c r="B192" s="39" t="n">
        <v>132815.19</v>
      </c>
      <c r="C192" s="40">
        <f>LN(B192/B191)</f>
        <v/>
      </c>
      <c r="D192" s="41">
        <f>(B192/B191)-1</f>
        <v/>
      </c>
      <c r="E192" s="42">
        <f>C192^2</f>
        <v/>
      </c>
      <c r="F192" s="22" t="inlineStr"/>
    </row>
    <row r="193" ht="16" customHeight="1">
      <c r="A193" s="35" t="n">
        <v>44830</v>
      </c>
      <c r="B193" s="36" t="n">
        <v>131652.41</v>
      </c>
      <c r="C193" s="43">
        <f>LN(B193/B192)</f>
        <v/>
      </c>
      <c r="D193" s="44">
        <f>(B193/B192)-1</f>
        <v/>
      </c>
      <c r="E193" s="45">
        <f>C193^2</f>
        <v/>
      </c>
      <c r="F193" s="26" t="inlineStr"/>
    </row>
    <row r="194" ht="16" customHeight="1">
      <c r="A194" s="38" t="n">
        <v>44831</v>
      </c>
      <c r="B194" s="39" t="n">
        <v>132501.05</v>
      </c>
      <c r="C194" s="40">
        <f>LN(B194/B193)</f>
        <v/>
      </c>
      <c r="D194" s="41">
        <f>(B194/B193)-1</f>
        <v/>
      </c>
      <c r="E194" s="42">
        <f>C194^2</f>
        <v/>
      </c>
      <c r="F194" s="22" t="inlineStr"/>
    </row>
    <row r="195" ht="16" customHeight="1">
      <c r="A195" s="35" t="n">
        <v>44832</v>
      </c>
      <c r="B195" s="36" t="n">
        <v>133299.4</v>
      </c>
      <c r="C195" s="43">
        <f>LN(B195/B194)</f>
        <v/>
      </c>
      <c r="D195" s="44">
        <f>(B195/B194)-1</f>
        <v/>
      </c>
      <c r="E195" s="45">
        <f>C195^2</f>
        <v/>
      </c>
      <c r="F195" s="26" t="inlineStr"/>
    </row>
    <row r="196" ht="16" customHeight="1">
      <c r="A196" s="38" t="n">
        <v>44833</v>
      </c>
      <c r="B196" s="39" t="n">
        <v>132398.63</v>
      </c>
      <c r="C196" s="40">
        <f>LN(B196/B195)</f>
        <v/>
      </c>
      <c r="D196" s="41">
        <f>(B196/B195)-1</f>
        <v/>
      </c>
      <c r="E196" s="42">
        <f>C196^2</f>
        <v/>
      </c>
      <c r="F196" s="22" t="inlineStr"/>
    </row>
    <row r="197" ht="16" customHeight="1">
      <c r="A197" s="35" t="n">
        <v>44834</v>
      </c>
      <c r="B197" s="36" t="n">
        <v>133056.19</v>
      </c>
      <c r="C197" s="43">
        <f>LN(B197/B196)</f>
        <v/>
      </c>
      <c r="D197" s="44">
        <f>(B197/B196)-1</f>
        <v/>
      </c>
      <c r="E197" s="45">
        <f>C197^2</f>
        <v/>
      </c>
      <c r="F197" s="26" t="inlineStr"/>
    </row>
    <row r="198" ht="16" customHeight="1">
      <c r="A198" s="38" t="n">
        <v>44837</v>
      </c>
      <c r="B198" s="39" t="n">
        <v>134707.03</v>
      </c>
      <c r="C198" s="40">
        <f>LN(B198/B197)</f>
        <v/>
      </c>
      <c r="D198" s="41">
        <f>(B198/B197)-1</f>
        <v/>
      </c>
      <c r="E198" s="42">
        <f>C198^2</f>
        <v/>
      </c>
      <c r="F198" s="22" t="inlineStr"/>
    </row>
    <row r="199" ht="16" customHeight="1">
      <c r="A199" s="35" t="n">
        <v>44838</v>
      </c>
      <c r="B199" s="36" t="n">
        <v>133579.96</v>
      </c>
      <c r="C199" s="43">
        <f>LN(B199/B198)</f>
        <v/>
      </c>
      <c r="D199" s="44">
        <f>(B199/B198)-1</f>
        <v/>
      </c>
      <c r="E199" s="45">
        <f>C199^2</f>
        <v/>
      </c>
      <c r="F199" s="26" t="inlineStr"/>
    </row>
    <row r="200" ht="16" customHeight="1">
      <c r="A200" s="38" t="n">
        <v>44839</v>
      </c>
      <c r="B200" s="39" t="n">
        <v>134212.04</v>
      </c>
      <c r="C200" s="40">
        <f>LN(B200/B199)</f>
        <v/>
      </c>
      <c r="D200" s="41">
        <f>(B200/B199)-1</f>
        <v/>
      </c>
      <c r="E200" s="42">
        <f>C200^2</f>
        <v/>
      </c>
      <c r="F200" s="22" t="inlineStr"/>
    </row>
    <row r="201" ht="16" customHeight="1">
      <c r="A201" s="35" t="n">
        <v>44840</v>
      </c>
      <c r="B201" s="36" t="n">
        <v>134236.61</v>
      </c>
      <c r="C201" s="43">
        <f>LN(B201/B200)</f>
        <v/>
      </c>
      <c r="D201" s="44">
        <f>(B201/B200)-1</f>
        <v/>
      </c>
      <c r="E201" s="45">
        <f>C201^2</f>
        <v/>
      </c>
      <c r="F201" s="26" t="inlineStr"/>
    </row>
    <row r="202" ht="16" customHeight="1">
      <c r="A202" s="38" t="n">
        <v>44841</v>
      </c>
      <c r="B202" s="39" t="n">
        <v>137957.56</v>
      </c>
      <c r="C202" s="40">
        <f>LN(B202/B201)</f>
        <v/>
      </c>
      <c r="D202" s="41">
        <f>(B202/B201)-1</f>
        <v/>
      </c>
      <c r="E202" s="42">
        <f>C202^2</f>
        <v/>
      </c>
      <c r="F202" s="22" t="inlineStr"/>
    </row>
    <row r="203" ht="16" customHeight="1">
      <c r="A203" s="35" t="n">
        <v>44844</v>
      </c>
      <c r="B203" s="36" t="n">
        <v>134928.97</v>
      </c>
      <c r="C203" s="43">
        <f>LN(B203/B202)</f>
        <v/>
      </c>
      <c r="D203" s="44">
        <f>(B203/B202)-1</f>
        <v/>
      </c>
      <c r="E203" s="45">
        <f>C203^2</f>
        <v/>
      </c>
      <c r="F203" s="26" t="inlineStr"/>
    </row>
    <row r="204" ht="16" customHeight="1">
      <c r="A204" s="38" t="n">
        <v>44845</v>
      </c>
      <c r="B204" s="39" t="n">
        <v>136079.86</v>
      </c>
      <c r="C204" s="40">
        <f>LN(B204/B203)</f>
        <v/>
      </c>
      <c r="D204" s="41">
        <f>(B204/B203)-1</f>
        <v/>
      </c>
      <c r="E204" s="42">
        <f>C204^2</f>
        <v/>
      </c>
      <c r="F204" s="22" t="inlineStr"/>
    </row>
    <row r="205" ht="16" customHeight="1">
      <c r="A205" s="35" t="n">
        <v>44846</v>
      </c>
      <c r="B205" s="36" t="n">
        <v>135601.03</v>
      </c>
      <c r="C205" s="43">
        <f>LN(B205/B204)</f>
        <v/>
      </c>
      <c r="D205" s="44">
        <f>(B205/B204)-1</f>
        <v/>
      </c>
      <c r="E205" s="45">
        <f>C205^2</f>
        <v/>
      </c>
      <c r="F205" s="26" t="inlineStr"/>
    </row>
    <row r="206" ht="16" customHeight="1">
      <c r="A206" s="38" t="n">
        <v>44847</v>
      </c>
      <c r="B206" s="39" t="n">
        <v>135458.4</v>
      </c>
      <c r="C206" s="40">
        <f>LN(B206/B205)</f>
        <v/>
      </c>
      <c r="D206" s="41">
        <f>(B206/B205)-1</f>
        <v/>
      </c>
      <c r="E206" s="42">
        <f>C206^2</f>
        <v/>
      </c>
      <c r="F206" s="22" t="inlineStr"/>
    </row>
    <row r="207" ht="16" customHeight="1">
      <c r="A207" s="35" t="n">
        <v>44848</v>
      </c>
      <c r="B207" s="36" t="n">
        <v>138605.76</v>
      </c>
      <c r="C207" s="43">
        <f>LN(B207/B206)</f>
        <v/>
      </c>
      <c r="D207" s="44">
        <f>(B207/B206)-1</f>
        <v/>
      </c>
      <c r="E207" s="45">
        <f>C207^2</f>
        <v/>
      </c>
      <c r="F207" s="26" t="inlineStr"/>
    </row>
    <row r="208" ht="16" customHeight="1">
      <c r="A208" s="38" t="n">
        <v>44851</v>
      </c>
      <c r="B208" s="39" t="n">
        <v>138612.29</v>
      </c>
      <c r="C208" s="40">
        <f>LN(B208/B207)</f>
        <v/>
      </c>
      <c r="D208" s="41">
        <f>(B208/B207)-1</f>
        <v/>
      </c>
      <c r="E208" s="42">
        <f>C208^2</f>
        <v/>
      </c>
      <c r="F208" s="22" t="inlineStr"/>
    </row>
    <row r="209" ht="16" customHeight="1">
      <c r="A209" s="35" t="n">
        <v>44852</v>
      </c>
      <c r="B209" s="36" t="n">
        <v>142411.69</v>
      </c>
      <c r="C209" s="43">
        <f>LN(B209/B208)</f>
        <v/>
      </c>
      <c r="D209" s="44">
        <f>(B209/B208)-1</f>
        <v/>
      </c>
      <c r="E209" s="45">
        <f>C209^2</f>
        <v/>
      </c>
      <c r="F209" s="26" t="inlineStr"/>
    </row>
    <row r="210" ht="16" customHeight="1">
      <c r="A210" s="38" t="n">
        <v>44853</v>
      </c>
      <c r="B210" s="39" t="n">
        <v>141679.34</v>
      </c>
      <c r="C210" s="40">
        <f>LN(B210/B209)</f>
        <v/>
      </c>
      <c r="D210" s="41">
        <f>(B210/B209)-1</f>
        <v/>
      </c>
      <c r="E210" s="42">
        <f>C210^2</f>
        <v/>
      </c>
      <c r="F210" s="22" t="inlineStr"/>
    </row>
    <row r="211" ht="16" customHeight="1">
      <c r="A211" s="35" t="n">
        <v>44854</v>
      </c>
      <c r="B211" s="36" t="n">
        <v>142297.86</v>
      </c>
      <c r="C211" s="43">
        <f>LN(B211/B210)</f>
        <v/>
      </c>
      <c r="D211" s="44">
        <f>(B211/B210)-1</f>
        <v/>
      </c>
      <c r="E211" s="45">
        <f>C211^2</f>
        <v/>
      </c>
      <c r="F211" s="26" t="inlineStr"/>
    </row>
    <row r="212" ht="16" customHeight="1">
      <c r="A212" s="38" t="n">
        <v>44855</v>
      </c>
      <c r="B212" s="39" t="n">
        <v>141483.39</v>
      </c>
      <c r="C212" s="40">
        <f>LN(B212/B211)</f>
        <v/>
      </c>
      <c r="D212" s="41">
        <f>(B212/B211)-1</f>
        <v/>
      </c>
      <c r="E212" s="42">
        <f>C212^2</f>
        <v/>
      </c>
      <c r="F212" s="22" t="inlineStr"/>
    </row>
    <row r="213" ht="16" customHeight="1">
      <c r="A213" s="35" t="n">
        <v>44858</v>
      </c>
      <c r="B213" s="36" t="n">
        <v>140336.63</v>
      </c>
      <c r="C213" s="43">
        <f>LN(B213/B212)</f>
        <v/>
      </c>
      <c r="D213" s="44">
        <f>(B213/B212)-1</f>
        <v/>
      </c>
      <c r="E213" s="45">
        <f>C213^2</f>
        <v/>
      </c>
      <c r="F213" s="26" t="inlineStr"/>
    </row>
    <row r="214" ht="16" customHeight="1">
      <c r="A214" s="38" t="n">
        <v>44859</v>
      </c>
      <c r="B214" s="39" t="n">
        <v>140462.96</v>
      </c>
      <c r="C214" s="40">
        <f>LN(B214/B213)</f>
        <v/>
      </c>
      <c r="D214" s="41">
        <f>(B214/B213)-1</f>
        <v/>
      </c>
      <c r="E214" s="42">
        <f>C214^2</f>
        <v/>
      </c>
      <c r="F214" s="22" t="inlineStr"/>
    </row>
    <row r="215" ht="16" customHeight="1">
      <c r="A215" s="35" t="n">
        <v>44860</v>
      </c>
      <c r="B215" s="36" t="n">
        <v>140008.48</v>
      </c>
      <c r="C215" s="43">
        <f>LN(B215/B214)</f>
        <v/>
      </c>
      <c r="D215" s="44">
        <f>(B215/B214)-1</f>
        <v/>
      </c>
      <c r="E215" s="45">
        <f>C215^2</f>
        <v/>
      </c>
      <c r="F215" s="26" t="inlineStr"/>
    </row>
    <row r="216" ht="16" customHeight="1">
      <c r="A216" s="38" t="n">
        <v>44861</v>
      </c>
      <c r="B216" s="39" t="n">
        <v>140370.15</v>
      </c>
      <c r="C216" s="40">
        <f>LN(B216/B215)</f>
        <v/>
      </c>
      <c r="D216" s="41">
        <f>(B216/B215)-1</f>
        <v/>
      </c>
      <c r="E216" s="42">
        <f>C216^2</f>
        <v/>
      </c>
      <c r="F216" s="22" t="inlineStr"/>
    </row>
    <row r="217" ht="16" customHeight="1">
      <c r="A217" s="35" t="n">
        <v>44862</v>
      </c>
      <c r="B217" s="36" t="n">
        <v>136889.29</v>
      </c>
      <c r="C217" s="43">
        <f>LN(B217/B216)</f>
        <v/>
      </c>
      <c r="D217" s="44">
        <f>(B217/B216)-1</f>
        <v/>
      </c>
      <c r="E217" s="45">
        <f>C217^2</f>
        <v/>
      </c>
      <c r="F217" s="26" t="inlineStr"/>
    </row>
    <row r="218" ht="16" customHeight="1">
      <c r="A218" s="38" t="n">
        <v>44865</v>
      </c>
      <c r="B218" s="39" t="n">
        <v>140239.56</v>
      </c>
      <c r="C218" s="40">
        <f>LN(B218/B217)</f>
        <v/>
      </c>
      <c r="D218" s="41">
        <f>(B218/B217)-1</f>
        <v/>
      </c>
      <c r="E218" s="42">
        <f>C218^2</f>
        <v/>
      </c>
      <c r="F218" s="22" t="inlineStr"/>
    </row>
    <row r="219" ht="16" customHeight="1">
      <c r="A219" s="35" t="n">
        <v>44866</v>
      </c>
      <c r="B219" s="36" t="n">
        <v>139979.8</v>
      </c>
      <c r="C219" s="43">
        <f>LN(B219/B218)</f>
        <v/>
      </c>
      <c r="D219" s="44">
        <f>(B219/B218)-1</f>
        <v/>
      </c>
      <c r="E219" s="45">
        <f>C219^2</f>
        <v/>
      </c>
      <c r="F219" s="26" t="inlineStr"/>
    </row>
    <row r="220" ht="16" customHeight="1">
      <c r="A220" s="38" t="n">
        <v>44867</v>
      </c>
      <c r="B220" s="39" t="n">
        <v>142959.73</v>
      </c>
      <c r="C220" s="40">
        <f>LN(B220/B219)</f>
        <v/>
      </c>
      <c r="D220" s="41">
        <f>(B220/B219)-1</f>
        <v/>
      </c>
      <c r="E220" s="42">
        <f>C220^2</f>
        <v/>
      </c>
      <c r="F220" s="22" t="inlineStr"/>
    </row>
    <row r="221" ht="16" customHeight="1">
      <c r="A221" s="35" t="n">
        <v>44868</v>
      </c>
      <c r="B221" s="36" t="n">
        <v>141263.6</v>
      </c>
      <c r="C221" s="43">
        <f>LN(B221/B220)</f>
        <v/>
      </c>
      <c r="D221" s="44">
        <f>(B221/B220)-1</f>
        <v/>
      </c>
      <c r="E221" s="45">
        <f>C221^2</f>
        <v/>
      </c>
      <c r="F221" s="26" t="inlineStr"/>
    </row>
    <row r="222" ht="16" customHeight="1">
      <c r="A222" s="38" t="n">
        <v>44869</v>
      </c>
      <c r="B222" s="39" t="n">
        <v>141781.63</v>
      </c>
      <c r="C222" s="40">
        <f>LN(B222/B221)</f>
        <v/>
      </c>
      <c r="D222" s="41">
        <f>(B222/B221)-1</f>
        <v/>
      </c>
      <c r="E222" s="42">
        <f>C222^2</f>
        <v/>
      </c>
      <c r="F222" s="22" t="inlineStr"/>
    </row>
    <row r="223" ht="16" customHeight="1">
      <c r="A223" s="35" t="n">
        <v>44872</v>
      </c>
      <c r="B223" s="36" t="n">
        <v>136495.01</v>
      </c>
      <c r="C223" s="43">
        <f>LN(B223/B222)</f>
        <v/>
      </c>
      <c r="D223" s="44">
        <f>(B223/B222)-1</f>
        <v/>
      </c>
      <c r="E223" s="45">
        <f>C223^2</f>
        <v/>
      </c>
      <c r="F223" s="26" t="inlineStr"/>
    </row>
    <row r="224" ht="16" customHeight="1">
      <c r="A224" s="38" t="n">
        <v>44873</v>
      </c>
      <c r="B224" s="39" t="n">
        <v>141799.96</v>
      </c>
      <c r="C224" s="40">
        <f>LN(B224/B223)</f>
        <v/>
      </c>
      <c r="D224" s="41">
        <f>(B224/B223)-1</f>
        <v/>
      </c>
      <c r="E224" s="42">
        <f>C224^2</f>
        <v/>
      </c>
      <c r="F224" s="22" t="inlineStr"/>
    </row>
    <row r="225" ht="16" customHeight="1">
      <c r="A225" s="35" t="n">
        <v>44874</v>
      </c>
      <c r="B225" s="36" t="n">
        <v>140348.78</v>
      </c>
      <c r="C225" s="43">
        <f>LN(B225/B224)</f>
        <v/>
      </c>
      <c r="D225" s="44">
        <f>(B225/B224)-1</f>
        <v/>
      </c>
      <c r="E225" s="45">
        <f>C225^2</f>
        <v/>
      </c>
      <c r="F225" s="26" t="inlineStr"/>
    </row>
    <row r="226" ht="16" customHeight="1">
      <c r="A226" s="38" t="n">
        <v>44875</v>
      </c>
      <c r="B226" s="39" t="n">
        <v>137873.56</v>
      </c>
      <c r="C226" s="40">
        <f>LN(B226/B225)</f>
        <v/>
      </c>
      <c r="D226" s="41">
        <f>(B226/B225)-1</f>
        <v/>
      </c>
      <c r="E226" s="42">
        <f>C226^2</f>
        <v/>
      </c>
      <c r="F226" s="22" t="inlineStr"/>
    </row>
    <row r="227" ht="16" customHeight="1">
      <c r="A227" s="35" t="n">
        <v>44876</v>
      </c>
      <c r="B227" s="36" t="n">
        <v>136992.88</v>
      </c>
      <c r="C227" s="43">
        <f>LN(B227/B226)</f>
        <v/>
      </c>
      <c r="D227" s="44">
        <f>(B227/B226)-1</f>
        <v/>
      </c>
      <c r="E227" s="45">
        <f>C227^2</f>
        <v/>
      </c>
      <c r="F227" s="26" t="inlineStr"/>
    </row>
    <row r="228" ht="16" customHeight="1">
      <c r="A228" s="38" t="n">
        <v>44879</v>
      </c>
      <c r="B228" s="39" t="n">
        <v>137792.48</v>
      </c>
      <c r="C228" s="40">
        <f>LN(B228/B227)</f>
        <v/>
      </c>
      <c r="D228" s="41">
        <f>(B228/B227)-1</f>
        <v/>
      </c>
      <c r="E228" s="42">
        <f>C228^2</f>
        <v/>
      </c>
      <c r="F228" s="22" t="inlineStr"/>
    </row>
    <row r="229" ht="16" customHeight="1">
      <c r="A229" s="35" t="n">
        <v>44880</v>
      </c>
      <c r="B229" s="36" t="n">
        <v>138964.55</v>
      </c>
      <c r="C229" s="43">
        <f>LN(B229/B228)</f>
        <v/>
      </c>
      <c r="D229" s="44">
        <f>(B229/B228)-1</f>
        <v/>
      </c>
      <c r="E229" s="45">
        <f>C229^2</f>
        <v/>
      </c>
      <c r="F229" s="26" t="inlineStr"/>
    </row>
    <row r="230" ht="16" customHeight="1">
      <c r="A230" s="38" t="n">
        <v>44881</v>
      </c>
      <c r="B230" s="39" t="n">
        <v>141154.25</v>
      </c>
      <c r="C230" s="40">
        <f>LN(B230/B229)</f>
        <v/>
      </c>
      <c r="D230" s="41">
        <f>(B230/B229)-1</f>
        <v/>
      </c>
      <c r="E230" s="42">
        <f>C230^2</f>
        <v/>
      </c>
      <c r="F230" s="22" t="inlineStr"/>
    </row>
    <row r="231" ht="16" customHeight="1">
      <c r="A231" s="35" t="n">
        <v>44882</v>
      </c>
      <c r="B231" s="36" t="n">
        <v>140740.69</v>
      </c>
      <c r="C231" s="43">
        <f>LN(B231/B230)</f>
        <v/>
      </c>
      <c r="D231" s="44">
        <f>(B231/B230)-1</f>
        <v/>
      </c>
      <c r="E231" s="45">
        <f>C231^2</f>
        <v/>
      </c>
      <c r="F231" s="26" t="inlineStr"/>
    </row>
    <row r="232" ht="16" customHeight="1">
      <c r="A232" s="38" t="n">
        <v>44883</v>
      </c>
      <c r="B232" s="39" t="n">
        <v>138081.23</v>
      </c>
      <c r="C232" s="40">
        <f>LN(B232/B231)</f>
        <v/>
      </c>
      <c r="D232" s="41">
        <f>(B232/B231)-1</f>
        <v/>
      </c>
      <c r="E232" s="42">
        <f>C232^2</f>
        <v/>
      </c>
      <c r="F232" s="22" t="inlineStr"/>
    </row>
    <row r="233" ht="16" customHeight="1">
      <c r="A233" s="35" t="n">
        <v>44886</v>
      </c>
      <c r="B233" s="36" t="n">
        <v>137382.88</v>
      </c>
      <c r="C233" s="43">
        <f>LN(B233/B232)</f>
        <v/>
      </c>
      <c r="D233" s="44">
        <f>(B233/B232)-1</f>
        <v/>
      </c>
      <c r="E233" s="45">
        <f>C233^2</f>
        <v/>
      </c>
      <c r="F233" s="26" t="inlineStr"/>
    </row>
    <row r="234" ht="16" customHeight="1">
      <c r="A234" s="38" t="n">
        <v>44887</v>
      </c>
      <c r="B234" s="39" t="n">
        <v>139463.71</v>
      </c>
      <c r="C234" s="40">
        <f>LN(B234/B233)</f>
        <v/>
      </c>
      <c r="D234" s="41">
        <f>(B234/B233)-1</f>
        <v/>
      </c>
      <c r="E234" s="42">
        <f>C234^2</f>
        <v/>
      </c>
      <c r="F234" s="22" t="inlineStr"/>
    </row>
    <row r="235" ht="16" customHeight="1">
      <c r="A235" s="35" t="n">
        <v>44888</v>
      </c>
      <c r="B235" s="36" t="n">
        <v>140266.25</v>
      </c>
      <c r="C235" s="43">
        <f>LN(B235/B234)</f>
        <v/>
      </c>
      <c r="D235" s="44">
        <f>(B235/B234)-1</f>
        <v/>
      </c>
      <c r="E235" s="45">
        <f>C235^2</f>
        <v/>
      </c>
      <c r="F235" s="26" t="inlineStr"/>
    </row>
    <row r="236" ht="16" customHeight="1">
      <c r="A236" s="38" t="n">
        <v>44889</v>
      </c>
      <c r="B236" s="39" t="n">
        <v>137031.27</v>
      </c>
      <c r="C236" s="40">
        <f>LN(B236/B235)</f>
        <v/>
      </c>
      <c r="D236" s="41">
        <f>(B236/B235)-1</f>
        <v/>
      </c>
      <c r="E236" s="42">
        <f>C236^2</f>
        <v/>
      </c>
      <c r="F236" s="22" t="inlineStr"/>
    </row>
    <row r="237" ht="16" customHeight="1">
      <c r="A237" s="35" t="n">
        <v>44890</v>
      </c>
      <c r="B237" s="36" t="n">
        <v>136994.19</v>
      </c>
      <c r="C237" s="43">
        <f>LN(B237/B236)</f>
        <v/>
      </c>
      <c r="D237" s="44">
        <f>(B237/B236)-1</f>
        <v/>
      </c>
      <c r="E237" s="45">
        <f>C237^2</f>
        <v/>
      </c>
      <c r="F237" s="26" t="inlineStr"/>
    </row>
    <row r="238" ht="16" customHeight="1">
      <c r="A238" s="38" t="n">
        <v>44893</v>
      </c>
      <c r="B238" s="39" t="n">
        <v>139332.97</v>
      </c>
      <c r="C238" s="40">
        <f>LN(B238/B237)</f>
        <v/>
      </c>
      <c r="D238" s="41">
        <f>(B238/B237)-1</f>
        <v/>
      </c>
      <c r="E238" s="42">
        <f>C238^2</f>
        <v/>
      </c>
      <c r="F238" s="22" t="inlineStr"/>
    </row>
    <row r="239" ht="16" customHeight="1">
      <c r="A239" s="35" t="n">
        <v>44894</v>
      </c>
      <c r="B239" s="36" t="n">
        <v>142955.75</v>
      </c>
      <c r="C239" s="43">
        <f>LN(B239/B238)</f>
        <v/>
      </c>
      <c r="D239" s="44">
        <f>(B239/B238)-1</f>
        <v/>
      </c>
      <c r="E239" s="45">
        <f>C239^2</f>
        <v/>
      </c>
      <c r="F239" s="26" t="inlineStr"/>
    </row>
    <row r="240" ht="16" customHeight="1">
      <c r="A240" s="38" t="n">
        <v>44895</v>
      </c>
      <c r="B240" s="39" t="n">
        <v>143944.15</v>
      </c>
      <c r="C240" s="40">
        <f>LN(B240/B239)</f>
        <v/>
      </c>
      <c r="D240" s="41">
        <f>(B240/B239)-1</f>
        <v/>
      </c>
      <c r="E240" s="42">
        <f>C240^2</f>
        <v/>
      </c>
      <c r="F240" s="22" t="inlineStr"/>
    </row>
    <row r="241" ht="16" customHeight="1">
      <c r="A241" s="35" t="n">
        <v>44896</v>
      </c>
      <c r="B241" s="36" t="n">
        <v>144501.08</v>
      </c>
      <c r="C241" s="43">
        <f>LN(B241/B240)</f>
        <v/>
      </c>
      <c r="D241" s="44">
        <f>(B241/B240)-1</f>
        <v/>
      </c>
      <c r="E241" s="45">
        <f>C241^2</f>
        <v/>
      </c>
      <c r="F241" s="26" t="inlineStr"/>
    </row>
    <row r="242" ht="16" customHeight="1">
      <c r="A242" s="38" t="n">
        <v>44897</v>
      </c>
      <c r="B242" s="39" t="n">
        <v>142387.83</v>
      </c>
      <c r="C242" s="40">
        <f>LN(B242/B241)</f>
        <v/>
      </c>
      <c r="D242" s="41">
        <f>(B242/B241)-1</f>
        <v/>
      </c>
      <c r="E242" s="42">
        <f>C242^2</f>
        <v/>
      </c>
      <c r="F242" s="22" t="inlineStr"/>
    </row>
    <row r="243" ht="16" customHeight="1">
      <c r="A243" s="35" t="n">
        <v>44900</v>
      </c>
      <c r="B243" s="36" t="n">
        <v>140975.43</v>
      </c>
      <c r="C243" s="43">
        <f>LN(B243/B242)</f>
        <v/>
      </c>
      <c r="D243" s="44">
        <f>(B243/B242)-1</f>
        <v/>
      </c>
      <c r="E243" s="45">
        <f>C243^2</f>
        <v/>
      </c>
      <c r="F243" s="26" t="inlineStr"/>
    </row>
    <row r="244" ht="16" customHeight="1">
      <c r="A244" s="38" t="n">
        <v>44901</v>
      </c>
      <c r="B244" s="39" t="n">
        <v>141075.98</v>
      </c>
      <c r="C244" s="40">
        <f>LN(B244/B243)</f>
        <v/>
      </c>
      <c r="D244" s="41">
        <f>(B244/B243)-1</f>
        <v/>
      </c>
      <c r="E244" s="42">
        <f>C244^2</f>
        <v/>
      </c>
      <c r="F244" s="22" t="inlineStr"/>
    </row>
    <row r="245" ht="16" customHeight="1">
      <c r="A245" s="35" t="n">
        <v>44902</v>
      </c>
      <c r="B245" s="36" t="n">
        <v>141951.72</v>
      </c>
      <c r="C245" s="43">
        <f>LN(B245/B244)</f>
        <v/>
      </c>
      <c r="D245" s="44">
        <f>(B245/B244)-1</f>
        <v/>
      </c>
      <c r="E245" s="45">
        <f>C245^2</f>
        <v/>
      </c>
      <c r="F245" s="26" t="inlineStr"/>
    </row>
    <row r="246" ht="16" customHeight="1">
      <c r="A246" s="38" t="n">
        <v>44903</v>
      </c>
      <c r="B246" s="39" t="n">
        <v>142964.91</v>
      </c>
      <c r="C246" s="40">
        <f>LN(B246/B245)</f>
        <v/>
      </c>
      <c r="D246" s="41">
        <f>(B246/B245)-1</f>
        <v/>
      </c>
      <c r="E246" s="42">
        <f>C246^2</f>
        <v/>
      </c>
      <c r="F246" s="22" t="inlineStr"/>
    </row>
    <row r="247" ht="16" customHeight="1">
      <c r="A247" s="35" t="n">
        <v>44904</v>
      </c>
      <c r="B247" s="36" t="n">
        <v>142168.18</v>
      </c>
      <c r="C247" s="43">
        <f>LN(B247/B246)</f>
        <v/>
      </c>
      <c r="D247" s="44">
        <f>(B247/B246)-1</f>
        <v/>
      </c>
      <c r="E247" s="45">
        <f>C247^2</f>
        <v/>
      </c>
      <c r="F247" s="26" t="inlineStr"/>
    </row>
    <row r="248" ht="16" customHeight="1">
      <c r="A248" s="38" t="n">
        <v>44907</v>
      </c>
      <c r="B248" s="39" t="n">
        <v>140237.5</v>
      </c>
      <c r="C248" s="40">
        <f>LN(B248/B247)</f>
        <v/>
      </c>
      <c r="D248" s="41">
        <f>(B248/B247)-1</f>
        <v/>
      </c>
      <c r="E248" s="42">
        <f>C248^2</f>
        <v/>
      </c>
      <c r="F248" s="22" t="inlineStr"/>
    </row>
    <row r="249" ht="16" customHeight="1">
      <c r="A249" s="35" t="n">
        <v>44908</v>
      </c>
      <c r="B249" s="36" t="n">
        <v>138955.54</v>
      </c>
      <c r="C249" s="43">
        <f>LN(B249/B248)</f>
        <v/>
      </c>
      <c r="D249" s="44">
        <f>(B249/B248)-1</f>
        <v/>
      </c>
      <c r="E249" s="45">
        <f>C249^2</f>
        <v/>
      </c>
      <c r="F249" s="26" t="inlineStr"/>
    </row>
    <row r="250" ht="16" customHeight="1">
      <c r="A250" s="38" t="n">
        <v>44909</v>
      </c>
      <c r="B250" s="39" t="n">
        <v>137060.21</v>
      </c>
      <c r="C250" s="40">
        <f>LN(B250/B249)</f>
        <v/>
      </c>
      <c r="D250" s="41">
        <f>(B250/B249)-1</f>
        <v/>
      </c>
      <c r="E250" s="42">
        <f>C250^2</f>
        <v/>
      </c>
      <c r="F250" s="22" t="inlineStr"/>
    </row>
    <row r="251" ht="16" customHeight="1">
      <c r="A251" s="35" t="n">
        <v>44910</v>
      </c>
      <c r="B251" s="36" t="n">
        <v>138143.26</v>
      </c>
      <c r="C251" s="43">
        <f>LN(B251/B250)</f>
        <v/>
      </c>
      <c r="D251" s="44">
        <f>(B251/B250)-1</f>
        <v/>
      </c>
      <c r="E251" s="45">
        <f>C251^2</f>
        <v/>
      </c>
      <c r="F251" s="26" t="inlineStr"/>
    </row>
    <row r="252" ht="16" customHeight="1">
      <c r="A252" s="38" t="n">
        <v>44911</v>
      </c>
      <c r="B252" s="39" t="n">
        <v>134382.99</v>
      </c>
      <c r="C252" s="40">
        <f>LN(B252/B251)</f>
        <v/>
      </c>
      <c r="D252" s="41">
        <f>(B252/B251)-1</f>
        <v/>
      </c>
      <c r="E252" s="42">
        <f>C252^2</f>
        <v/>
      </c>
      <c r="F252" s="22" t="inlineStr"/>
    </row>
    <row r="253" ht="16" customHeight="1">
      <c r="A253" s="35" t="n">
        <v>44914</v>
      </c>
      <c r="B253" s="36" t="n">
        <v>133866.7</v>
      </c>
      <c r="C253" s="43">
        <f>LN(B253/B252)</f>
        <v/>
      </c>
      <c r="D253" s="44">
        <f>(B253/B252)-1</f>
        <v/>
      </c>
      <c r="E253" s="45">
        <f>C253^2</f>
        <v/>
      </c>
      <c r="F253" s="26" t="inlineStr"/>
    </row>
    <row r="254" ht="16" customHeight="1">
      <c r="A254" s="38" t="n">
        <v>44915</v>
      </c>
      <c r="B254" s="39" t="n">
        <v>134611.53</v>
      </c>
      <c r="C254" s="40">
        <f>LN(B254/B253)</f>
        <v/>
      </c>
      <c r="D254" s="41">
        <f>(B254/B253)-1</f>
        <v/>
      </c>
      <c r="E254" s="42">
        <f>C254^2</f>
        <v/>
      </c>
      <c r="F254" s="22" t="inlineStr"/>
    </row>
    <row r="255" ht="16" customHeight="1">
      <c r="A255" s="35" t="n">
        <v>44916</v>
      </c>
      <c r="B255" s="36" t="n">
        <v>137113.25</v>
      </c>
      <c r="C255" s="43">
        <f>LN(B255/B254)</f>
        <v/>
      </c>
      <c r="D255" s="44">
        <f>(B255/B254)-1</f>
        <v/>
      </c>
      <c r="E255" s="45">
        <f>C255^2</f>
        <v/>
      </c>
      <c r="F255" s="26" t="inlineStr"/>
    </row>
    <row r="256" ht="16" customHeight="1">
      <c r="A256" s="38" t="n">
        <v>44917</v>
      </c>
      <c r="B256" s="39" t="n">
        <v>137251.2</v>
      </c>
      <c r="C256" s="40">
        <f>LN(B256/B255)</f>
        <v/>
      </c>
      <c r="D256" s="41">
        <f>(B256/B255)-1</f>
        <v/>
      </c>
      <c r="E256" s="42">
        <f>C256^2</f>
        <v/>
      </c>
      <c r="F256" s="22" t="inlineStr"/>
    </row>
    <row r="257" ht="16" customHeight="1">
      <c r="A257" s="35" t="n">
        <v>44918</v>
      </c>
      <c r="B257" s="36" t="n">
        <v>138931.11</v>
      </c>
      <c r="C257" s="43">
        <f>LN(B257/B256)</f>
        <v/>
      </c>
      <c r="D257" s="44">
        <f>(B257/B256)-1</f>
        <v/>
      </c>
      <c r="E257" s="45">
        <f>C257^2</f>
        <v/>
      </c>
      <c r="F257" s="26" t="inlineStr"/>
    </row>
    <row r="258" ht="16" customHeight="1">
      <c r="A258" s="38" t="n">
        <v>44921</v>
      </c>
      <c r="B258" s="39" t="n">
        <v>138288.23</v>
      </c>
      <c r="C258" s="40">
        <f>LN(B258/B257)</f>
        <v/>
      </c>
      <c r="D258" s="41">
        <f>(B258/B257)-1</f>
        <v/>
      </c>
      <c r="E258" s="42">
        <f>C258^2</f>
        <v/>
      </c>
      <c r="F258" s="22" t="inlineStr"/>
    </row>
    <row r="259" ht="16" customHeight="1">
      <c r="A259" s="35" t="n">
        <v>44922</v>
      </c>
      <c r="B259" s="36" t="n">
        <v>137078.98</v>
      </c>
      <c r="C259" s="43">
        <f>LN(B259/B258)</f>
        <v/>
      </c>
      <c r="D259" s="44">
        <f>(B259/B258)-1</f>
        <v/>
      </c>
      <c r="E259" s="45">
        <f>C259^2</f>
        <v/>
      </c>
      <c r="F259" s="26" t="inlineStr"/>
    </row>
    <row r="260" ht="16" customHeight="1">
      <c r="A260" s="38" t="n">
        <v>44923</v>
      </c>
      <c r="B260" s="39" t="n">
        <v>135994.51</v>
      </c>
      <c r="C260" s="40">
        <f>LN(B260/B259)</f>
        <v/>
      </c>
      <c r="D260" s="41">
        <f>(B260/B259)-1</f>
        <v/>
      </c>
      <c r="E260" s="42">
        <f>C260^2</f>
        <v/>
      </c>
      <c r="F260" s="22" t="inlineStr"/>
    </row>
    <row r="261" ht="16" customHeight="1">
      <c r="A261" s="35" t="n">
        <v>44924</v>
      </c>
      <c r="B261" s="36" t="n">
        <v>138530.78</v>
      </c>
      <c r="C261" s="43">
        <f>LN(B261/B260)</f>
        <v/>
      </c>
      <c r="D261" s="44">
        <f>(B261/B260)-1</f>
        <v/>
      </c>
      <c r="E261" s="45">
        <f>C261^2</f>
        <v/>
      </c>
      <c r="F261" s="26" t="inlineStr"/>
    </row>
    <row r="262" ht="16" customHeight="1">
      <c r="A262" s="38" t="n">
        <v>44925</v>
      </c>
      <c r="B262" s="39" t="n">
        <v>140214.47</v>
      </c>
      <c r="C262" s="40">
        <f>LN(B262/B261)</f>
        <v/>
      </c>
      <c r="D262" s="41">
        <f>(B262/B261)-1</f>
        <v/>
      </c>
      <c r="E262" s="42">
        <f>C262^2</f>
        <v/>
      </c>
      <c r="F262" s="22" t="inlineStr"/>
    </row>
    <row r="263" ht="16" customHeight="1">
      <c r="A263" s="35" t="n">
        <v>44928</v>
      </c>
      <c r="B263" s="36" t="n">
        <v>146228.9</v>
      </c>
      <c r="C263" s="43">
        <f>LN(B263/B262)</f>
        <v/>
      </c>
      <c r="D263" s="44">
        <f>(B263/B262)-1</f>
        <v/>
      </c>
      <c r="E263" s="45">
        <f>C263^2</f>
        <v/>
      </c>
      <c r="F263" s="26" t="inlineStr">
        <is>
          <t>Eleições – incerteza</t>
        </is>
      </c>
    </row>
    <row r="264" ht="16" customHeight="1">
      <c r="A264" s="38" t="n">
        <v>44929</v>
      </c>
      <c r="B264" s="39" t="n">
        <v>147108.73</v>
      </c>
      <c r="C264" s="40">
        <f>LN(B264/B263)</f>
        <v/>
      </c>
      <c r="D264" s="41">
        <f>(B264/B263)-1</f>
        <v/>
      </c>
      <c r="E264" s="42">
        <f>C264^2</f>
        <v/>
      </c>
      <c r="F264" s="22" t="inlineStr"/>
    </row>
    <row r="265" ht="16" customHeight="1">
      <c r="A265" s="35" t="n">
        <v>44930</v>
      </c>
      <c r="B265" s="36" t="n">
        <v>153129.69</v>
      </c>
      <c r="C265" s="43">
        <f>LN(B265/B264)</f>
        <v/>
      </c>
      <c r="D265" s="44">
        <f>(B265/B264)-1</f>
        <v/>
      </c>
      <c r="E265" s="45">
        <f>C265^2</f>
        <v/>
      </c>
      <c r="F265" s="26" t="inlineStr"/>
    </row>
    <row r="266" ht="16" customHeight="1">
      <c r="A266" s="38" t="n">
        <v>44931</v>
      </c>
      <c r="B266" s="39" t="n">
        <v>153093.23</v>
      </c>
      <c r="C266" s="40">
        <f>LN(B266/B265)</f>
        <v/>
      </c>
      <c r="D266" s="41">
        <f>(B266/B265)-1</f>
        <v/>
      </c>
      <c r="E266" s="42">
        <f>C266^2</f>
        <v/>
      </c>
      <c r="F266" s="22" t="inlineStr"/>
    </row>
    <row r="267" ht="16" customHeight="1">
      <c r="A267" s="35" t="n">
        <v>44932</v>
      </c>
      <c r="B267" s="36" t="n">
        <v>154260.28</v>
      </c>
      <c r="C267" s="43">
        <f>LN(B267/B266)</f>
        <v/>
      </c>
      <c r="D267" s="44">
        <f>(B267/B266)-1</f>
        <v/>
      </c>
      <c r="E267" s="45">
        <f>C267^2</f>
        <v/>
      </c>
      <c r="F267" s="26" t="inlineStr"/>
    </row>
    <row r="268" ht="16" customHeight="1">
      <c r="A268" s="38" t="n">
        <v>44935</v>
      </c>
      <c r="B268" s="39" t="n">
        <v>154853.95</v>
      </c>
      <c r="C268" s="40">
        <f>LN(B268/B267)</f>
        <v/>
      </c>
      <c r="D268" s="41">
        <f>(B268/B267)-1</f>
        <v/>
      </c>
      <c r="E268" s="42">
        <f>C268^2</f>
        <v/>
      </c>
      <c r="F268" s="22" t="inlineStr"/>
    </row>
    <row r="269" ht="16" customHeight="1">
      <c r="A269" s="35" t="n">
        <v>44936</v>
      </c>
      <c r="B269" s="36" t="n">
        <v>154465.35</v>
      </c>
      <c r="C269" s="43">
        <f>LN(B269/B268)</f>
        <v/>
      </c>
      <c r="D269" s="44">
        <f>(B269/B268)-1</f>
        <v/>
      </c>
      <c r="E269" s="45">
        <f>C269^2</f>
        <v/>
      </c>
      <c r="F269" s="26" t="inlineStr"/>
    </row>
    <row r="270" ht="16" customHeight="1">
      <c r="A270" s="38" t="n">
        <v>44937</v>
      </c>
      <c r="B270" s="39" t="n">
        <v>158842.61</v>
      </c>
      <c r="C270" s="40">
        <f>LN(B270/B269)</f>
        <v/>
      </c>
      <c r="D270" s="41">
        <f>(B270/B269)-1</f>
        <v/>
      </c>
      <c r="E270" s="42">
        <f>C270^2</f>
        <v/>
      </c>
      <c r="F270" s="22" t="inlineStr"/>
    </row>
    <row r="271" ht="16" customHeight="1">
      <c r="A271" s="35" t="n">
        <v>44938</v>
      </c>
      <c r="B271" s="36" t="n">
        <v>161764.75</v>
      </c>
      <c r="C271" s="43">
        <f>LN(B271/B270)</f>
        <v/>
      </c>
      <c r="D271" s="44">
        <f>(B271/B270)-1</f>
        <v/>
      </c>
      <c r="E271" s="45">
        <f>C271^2</f>
        <v/>
      </c>
      <c r="F271" s="26" t="inlineStr"/>
    </row>
    <row r="272" ht="16" customHeight="1">
      <c r="A272" s="38" t="n">
        <v>44939</v>
      </c>
      <c r="B272" s="39" t="n">
        <v>159094.66</v>
      </c>
      <c r="C272" s="40">
        <f>LN(B272/B271)</f>
        <v/>
      </c>
      <c r="D272" s="41">
        <f>(B272/B271)-1</f>
        <v/>
      </c>
      <c r="E272" s="42">
        <f>C272^2</f>
        <v/>
      </c>
      <c r="F272" s="22" t="inlineStr"/>
    </row>
    <row r="273" ht="16" customHeight="1">
      <c r="A273" s="35" t="n">
        <v>44942</v>
      </c>
      <c r="B273" s="36" t="n">
        <v>158356.88</v>
      </c>
      <c r="C273" s="43">
        <f>LN(B273/B272)</f>
        <v/>
      </c>
      <c r="D273" s="44">
        <f>(B273/B272)-1</f>
        <v/>
      </c>
      <c r="E273" s="45">
        <f>C273^2</f>
        <v/>
      </c>
      <c r="F273" s="26" t="inlineStr"/>
    </row>
    <row r="274" ht="16" customHeight="1">
      <c r="A274" s="38" t="n">
        <v>44943</v>
      </c>
      <c r="B274" s="39" t="n">
        <v>159196.81</v>
      </c>
      <c r="C274" s="40">
        <f>LN(B274/B273)</f>
        <v/>
      </c>
      <c r="D274" s="41">
        <f>(B274/B273)-1</f>
        <v/>
      </c>
      <c r="E274" s="42">
        <f>C274^2</f>
        <v/>
      </c>
      <c r="F274" s="22" t="inlineStr"/>
    </row>
    <row r="275" ht="16" customHeight="1">
      <c r="A275" s="35" t="n">
        <v>44944</v>
      </c>
      <c r="B275" s="36" t="n">
        <v>160724.13</v>
      </c>
      <c r="C275" s="43">
        <f>LN(B275/B274)</f>
        <v/>
      </c>
      <c r="D275" s="44">
        <f>(B275/B274)-1</f>
        <v/>
      </c>
      <c r="E275" s="45">
        <f>C275^2</f>
        <v/>
      </c>
      <c r="F275" s="26" t="inlineStr"/>
    </row>
    <row r="276" ht="16" customHeight="1">
      <c r="A276" s="38" t="n">
        <v>44945</v>
      </c>
      <c r="B276" s="39" t="n">
        <v>158168.05</v>
      </c>
      <c r="C276" s="40">
        <f>LN(B276/B275)</f>
        <v/>
      </c>
      <c r="D276" s="41">
        <f>(B276/B275)-1</f>
        <v/>
      </c>
      <c r="E276" s="42">
        <f>C276^2</f>
        <v/>
      </c>
      <c r="F276" s="22" t="inlineStr"/>
    </row>
    <row r="277" ht="16" customHeight="1">
      <c r="A277" s="35" t="n">
        <v>44946</v>
      </c>
      <c r="B277" s="36" t="n">
        <v>153967.47</v>
      </c>
      <c r="C277" s="43">
        <f>LN(B277/B276)</f>
        <v/>
      </c>
      <c r="D277" s="44">
        <f>(B277/B276)-1</f>
        <v/>
      </c>
      <c r="E277" s="45">
        <f>C277^2</f>
        <v/>
      </c>
      <c r="F277" s="26" t="inlineStr"/>
    </row>
    <row r="278" ht="16" customHeight="1">
      <c r="A278" s="38" t="n">
        <v>44949</v>
      </c>
      <c r="B278" s="39" t="n">
        <v>150507.8</v>
      </c>
      <c r="C278" s="40">
        <f>LN(B278/B277)</f>
        <v/>
      </c>
      <c r="D278" s="41">
        <f>(B278/B277)-1</f>
        <v/>
      </c>
      <c r="E278" s="42">
        <f>C278^2</f>
        <v/>
      </c>
      <c r="F278" s="22" t="inlineStr"/>
    </row>
    <row r="279" ht="16" customHeight="1">
      <c r="A279" s="35" t="n">
        <v>44950</v>
      </c>
      <c r="B279" s="36" t="n">
        <v>150401.98</v>
      </c>
      <c r="C279" s="43">
        <f>LN(B279/B278)</f>
        <v/>
      </c>
      <c r="D279" s="44">
        <f>(B279/B278)-1</f>
        <v/>
      </c>
      <c r="E279" s="45">
        <f>C279^2</f>
        <v/>
      </c>
      <c r="F279" s="26" t="inlineStr"/>
    </row>
    <row r="280" ht="16" customHeight="1">
      <c r="A280" s="38" t="n">
        <v>44951</v>
      </c>
      <c r="B280" s="39" t="n">
        <v>150238.37</v>
      </c>
      <c r="C280" s="40">
        <f>LN(B280/B279)</f>
        <v/>
      </c>
      <c r="D280" s="41">
        <f>(B280/B279)-1</f>
        <v/>
      </c>
      <c r="E280" s="42">
        <f>C280^2</f>
        <v/>
      </c>
      <c r="F280" s="22" t="inlineStr"/>
    </row>
    <row r="281" ht="16" customHeight="1">
      <c r="A281" s="35" t="n">
        <v>44952</v>
      </c>
      <c r="B281" s="36" t="n">
        <v>150884.67</v>
      </c>
      <c r="C281" s="43">
        <f>LN(B281/B280)</f>
        <v/>
      </c>
      <c r="D281" s="44">
        <f>(B281/B280)-1</f>
        <v/>
      </c>
      <c r="E281" s="45">
        <f>C281^2</f>
        <v/>
      </c>
      <c r="F281" s="26" t="inlineStr"/>
    </row>
    <row r="282" ht="16" customHeight="1">
      <c r="A282" s="38" t="n">
        <v>44953</v>
      </c>
      <c r="B282" s="39" t="n">
        <v>149519.93</v>
      </c>
      <c r="C282" s="40">
        <f>LN(B282/B281)</f>
        <v/>
      </c>
      <c r="D282" s="41">
        <f>(B282/B281)-1</f>
        <v/>
      </c>
      <c r="E282" s="42">
        <f>C282^2</f>
        <v/>
      </c>
      <c r="F282" s="22" t="inlineStr"/>
    </row>
    <row r="283" ht="16" customHeight="1">
      <c r="A283" s="35" t="n">
        <v>44956</v>
      </c>
      <c r="B283" s="36" t="n">
        <v>147361.51</v>
      </c>
      <c r="C283" s="43">
        <f>LN(B283/B282)</f>
        <v/>
      </c>
      <c r="D283" s="44">
        <f>(B283/B282)-1</f>
        <v/>
      </c>
      <c r="E283" s="45">
        <f>C283^2</f>
        <v/>
      </c>
      <c r="F283" s="26" t="inlineStr"/>
    </row>
    <row r="284" ht="16" customHeight="1">
      <c r="A284" s="38" t="n">
        <v>44957</v>
      </c>
      <c r="B284" s="39" t="n">
        <v>143848.73</v>
      </c>
      <c r="C284" s="40">
        <f>LN(B284/B283)</f>
        <v/>
      </c>
      <c r="D284" s="41">
        <f>(B284/B283)-1</f>
        <v/>
      </c>
      <c r="E284" s="42">
        <f>C284^2</f>
        <v/>
      </c>
      <c r="F284" s="22" t="inlineStr"/>
    </row>
    <row r="285" ht="16" customHeight="1">
      <c r="A285" s="35" t="n">
        <v>44958</v>
      </c>
      <c r="B285" s="36" t="n">
        <v>144439.76</v>
      </c>
      <c r="C285" s="43">
        <f>LN(B285/B284)</f>
        <v/>
      </c>
      <c r="D285" s="44">
        <f>(B285/B284)-1</f>
        <v/>
      </c>
      <c r="E285" s="45">
        <f>C285^2</f>
        <v/>
      </c>
      <c r="F285" s="26" t="inlineStr"/>
    </row>
    <row r="286" ht="16" customHeight="1">
      <c r="A286" s="38" t="n">
        <v>44959</v>
      </c>
      <c r="B286" s="39" t="n">
        <v>145104.36</v>
      </c>
      <c r="C286" s="40">
        <f>LN(B286/B285)</f>
        <v/>
      </c>
      <c r="D286" s="41">
        <f>(B286/B285)-1</f>
        <v/>
      </c>
      <c r="E286" s="42">
        <f>C286^2</f>
        <v/>
      </c>
      <c r="F286" s="22" t="inlineStr"/>
    </row>
    <row r="287" ht="16" customHeight="1">
      <c r="A287" s="35" t="n">
        <v>44960</v>
      </c>
      <c r="B287" s="36" t="n">
        <v>146865.78</v>
      </c>
      <c r="C287" s="43">
        <f>LN(B287/B286)</f>
        <v/>
      </c>
      <c r="D287" s="44">
        <f>(B287/B286)-1</f>
        <v/>
      </c>
      <c r="E287" s="45">
        <f>C287^2</f>
        <v/>
      </c>
      <c r="F287" s="26" t="inlineStr"/>
    </row>
    <row r="288" ht="16" customHeight="1">
      <c r="A288" s="38" t="n">
        <v>44963</v>
      </c>
      <c r="B288" s="39" t="n">
        <v>148288.35</v>
      </c>
      <c r="C288" s="40">
        <f>LN(B288/B287)</f>
        <v/>
      </c>
      <c r="D288" s="41">
        <f>(B288/B287)-1</f>
        <v/>
      </c>
      <c r="E288" s="42">
        <f>C288^2</f>
        <v/>
      </c>
      <c r="F288" s="22" t="inlineStr"/>
    </row>
    <row r="289" ht="16" customHeight="1">
      <c r="A289" s="35" t="n">
        <v>44964</v>
      </c>
      <c r="B289" s="36" t="n">
        <v>147971.56</v>
      </c>
      <c r="C289" s="43">
        <f>LN(B289/B288)</f>
        <v/>
      </c>
      <c r="D289" s="44">
        <f>(B289/B288)-1</f>
        <v/>
      </c>
      <c r="E289" s="45">
        <f>C289^2</f>
        <v/>
      </c>
      <c r="F289" s="26" t="inlineStr"/>
    </row>
    <row r="290" ht="16" customHeight="1">
      <c r="A290" s="38" t="n">
        <v>44965</v>
      </c>
      <c r="B290" s="39" t="n">
        <v>150409.45</v>
      </c>
      <c r="C290" s="40">
        <f>LN(B290/B289)</f>
        <v/>
      </c>
      <c r="D290" s="41">
        <f>(B290/B289)-1</f>
        <v/>
      </c>
      <c r="E290" s="42">
        <f>C290^2</f>
        <v/>
      </c>
      <c r="F290" s="22" t="inlineStr"/>
    </row>
    <row r="291" ht="16" customHeight="1">
      <c r="A291" s="35" t="n">
        <v>44966</v>
      </c>
      <c r="B291" s="36" t="n">
        <v>150186.05</v>
      </c>
      <c r="C291" s="43">
        <f>LN(B291/B290)</f>
        <v/>
      </c>
      <c r="D291" s="44">
        <f>(B291/B290)-1</f>
        <v/>
      </c>
      <c r="E291" s="45">
        <f>C291^2</f>
        <v/>
      </c>
      <c r="F291" s="26" t="inlineStr"/>
    </row>
    <row r="292" ht="16" customHeight="1">
      <c r="A292" s="38" t="n">
        <v>44967</v>
      </c>
      <c r="B292" s="39" t="n">
        <v>149022.13</v>
      </c>
      <c r="C292" s="40">
        <f>LN(B292/B291)</f>
        <v/>
      </c>
      <c r="D292" s="41">
        <f>(B292/B291)-1</f>
        <v/>
      </c>
      <c r="E292" s="42">
        <f>C292^2</f>
        <v/>
      </c>
      <c r="F292" s="22" t="inlineStr"/>
    </row>
    <row r="293" ht="16" customHeight="1">
      <c r="A293" s="35" t="n">
        <v>44970</v>
      </c>
      <c r="B293" s="36" t="n">
        <v>148116.31</v>
      </c>
      <c r="C293" s="43">
        <f>LN(B293/B292)</f>
        <v/>
      </c>
      <c r="D293" s="44">
        <f>(B293/B292)-1</f>
        <v/>
      </c>
      <c r="E293" s="45">
        <f>C293^2</f>
        <v/>
      </c>
      <c r="F293" s="26" t="inlineStr"/>
    </row>
    <row r="294" ht="16" customHeight="1">
      <c r="A294" s="38" t="n">
        <v>44971</v>
      </c>
      <c r="B294" s="39" t="n">
        <v>147102.57</v>
      </c>
      <c r="C294" s="40">
        <f>LN(B294/B293)</f>
        <v/>
      </c>
      <c r="D294" s="41">
        <f>(B294/B293)-1</f>
        <v/>
      </c>
      <c r="E294" s="42">
        <f>C294^2</f>
        <v/>
      </c>
      <c r="F294" s="22" t="inlineStr"/>
    </row>
    <row r="295" ht="16" customHeight="1">
      <c r="A295" s="35" t="n">
        <v>44972</v>
      </c>
      <c r="B295" s="36" t="n">
        <v>143350.3</v>
      </c>
      <c r="C295" s="43">
        <f>LN(B295/B294)</f>
        <v/>
      </c>
      <c r="D295" s="44">
        <f>(B295/B294)-1</f>
        <v/>
      </c>
      <c r="E295" s="45">
        <f>C295^2</f>
        <v/>
      </c>
      <c r="F295" s="26" t="inlineStr"/>
    </row>
    <row r="296" ht="16" customHeight="1">
      <c r="A296" s="38" t="n">
        <v>44973</v>
      </c>
      <c r="B296" s="39" t="n">
        <v>143641.01</v>
      </c>
      <c r="C296" s="40">
        <f>LN(B296/B295)</f>
        <v/>
      </c>
      <c r="D296" s="41">
        <f>(B296/B295)-1</f>
        <v/>
      </c>
      <c r="E296" s="42">
        <f>C296^2</f>
        <v/>
      </c>
      <c r="F296" s="22" t="inlineStr"/>
    </row>
    <row r="297" ht="16" customHeight="1">
      <c r="A297" s="35" t="n">
        <v>44974</v>
      </c>
      <c r="B297" s="36" t="n">
        <v>144093.99</v>
      </c>
      <c r="C297" s="43">
        <f>LN(B297/B296)</f>
        <v/>
      </c>
      <c r="D297" s="44">
        <f>(B297/B296)-1</f>
        <v/>
      </c>
      <c r="E297" s="45">
        <f>C297^2</f>
        <v/>
      </c>
      <c r="F297" s="26" t="inlineStr"/>
    </row>
    <row r="298" ht="16" customHeight="1">
      <c r="A298" s="38" t="n">
        <v>44977</v>
      </c>
      <c r="B298" s="39" t="n">
        <v>143490.47</v>
      </c>
      <c r="C298" s="40">
        <f>LN(B298/B297)</f>
        <v/>
      </c>
      <c r="D298" s="41">
        <f>(B298/B297)-1</f>
        <v/>
      </c>
      <c r="E298" s="42">
        <f>C298^2</f>
        <v/>
      </c>
      <c r="F298" s="22" t="inlineStr"/>
    </row>
    <row r="299" ht="16" customHeight="1">
      <c r="A299" s="35" t="n">
        <v>44978</v>
      </c>
      <c r="B299" s="36" t="n">
        <v>142287.91</v>
      </c>
      <c r="C299" s="43">
        <f>LN(B299/B298)</f>
        <v/>
      </c>
      <c r="D299" s="44">
        <f>(B299/B298)-1</f>
        <v/>
      </c>
      <c r="E299" s="45">
        <f>C299^2</f>
        <v/>
      </c>
      <c r="F299" s="26" t="inlineStr"/>
    </row>
    <row r="300" ht="16" customHeight="1">
      <c r="A300" s="38" t="n">
        <v>44979</v>
      </c>
      <c r="B300" s="39" t="n">
        <v>142945.61</v>
      </c>
      <c r="C300" s="40">
        <f>LN(B300/B299)</f>
        <v/>
      </c>
      <c r="D300" s="41">
        <f>(B300/B299)-1</f>
        <v/>
      </c>
      <c r="E300" s="42">
        <f>C300^2</f>
        <v/>
      </c>
      <c r="F300" s="22" t="inlineStr"/>
    </row>
    <row r="301" ht="16" customHeight="1">
      <c r="A301" s="35" t="n">
        <v>44980</v>
      </c>
      <c r="B301" s="36" t="n">
        <v>145943.08</v>
      </c>
      <c r="C301" s="43">
        <f>LN(B301/B300)</f>
        <v/>
      </c>
      <c r="D301" s="44">
        <f>(B301/B300)-1</f>
        <v/>
      </c>
      <c r="E301" s="45">
        <f>C301^2</f>
        <v/>
      </c>
      <c r="F301" s="26" t="inlineStr"/>
    </row>
    <row r="302" ht="16" customHeight="1">
      <c r="A302" s="38" t="n">
        <v>44981</v>
      </c>
      <c r="B302" s="39" t="n">
        <v>146032</v>
      </c>
      <c r="C302" s="40">
        <f>LN(B302/B301)</f>
        <v/>
      </c>
      <c r="D302" s="41">
        <f>(B302/B301)-1</f>
        <v/>
      </c>
      <c r="E302" s="42">
        <f>C302^2</f>
        <v/>
      </c>
      <c r="F302" s="22" t="inlineStr"/>
    </row>
    <row r="303" ht="16" customHeight="1">
      <c r="A303" s="35" t="n">
        <v>44984</v>
      </c>
      <c r="B303" s="36" t="n">
        <v>139606.22</v>
      </c>
      <c r="C303" s="43">
        <f>LN(B303/B302)</f>
        <v/>
      </c>
      <c r="D303" s="44">
        <f>(B303/B302)-1</f>
        <v/>
      </c>
      <c r="E303" s="45">
        <f>C303^2</f>
        <v/>
      </c>
      <c r="F303" s="26" t="inlineStr">
        <is>
          <t>Retomada pós-eleição</t>
        </is>
      </c>
    </row>
    <row r="304" ht="16" customHeight="1">
      <c r="A304" s="38" t="n">
        <v>44985</v>
      </c>
      <c r="B304" s="39" t="n">
        <v>138779.19</v>
      </c>
      <c r="C304" s="40">
        <f>LN(B304/B303)</f>
        <v/>
      </c>
      <c r="D304" s="41">
        <f>(B304/B303)-1</f>
        <v/>
      </c>
      <c r="E304" s="42">
        <f>C304^2</f>
        <v/>
      </c>
      <c r="F304" s="22" t="inlineStr"/>
    </row>
    <row r="305" ht="16" customHeight="1">
      <c r="A305" s="35" t="n">
        <v>44986</v>
      </c>
      <c r="B305" s="36" t="n">
        <v>137818.38</v>
      </c>
      <c r="C305" s="43">
        <f>LN(B305/B304)</f>
        <v/>
      </c>
      <c r="D305" s="44">
        <f>(B305/B304)-1</f>
        <v/>
      </c>
      <c r="E305" s="45">
        <f>C305^2</f>
        <v/>
      </c>
      <c r="F305" s="26" t="inlineStr"/>
    </row>
    <row r="306" ht="16" customHeight="1">
      <c r="A306" s="38" t="n">
        <v>44987</v>
      </c>
      <c r="B306" s="39" t="n">
        <v>137723.72</v>
      </c>
      <c r="C306" s="40">
        <f>LN(B306/B305)</f>
        <v/>
      </c>
      <c r="D306" s="41">
        <f>(B306/B305)-1</f>
        <v/>
      </c>
      <c r="E306" s="42">
        <f>C306^2</f>
        <v/>
      </c>
      <c r="F306" s="22" t="inlineStr"/>
    </row>
    <row r="307" ht="16" customHeight="1">
      <c r="A307" s="35" t="n">
        <v>44988</v>
      </c>
      <c r="B307" s="36" t="n">
        <v>135669.59</v>
      </c>
      <c r="C307" s="43">
        <f>LN(B307/B306)</f>
        <v/>
      </c>
      <c r="D307" s="44">
        <f>(B307/B306)-1</f>
        <v/>
      </c>
      <c r="E307" s="45">
        <f>C307^2</f>
        <v/>
      </c>
      <c r="F307" s="26" t="inlineStr"/>
    </row>
    <row r="308" ht="16" customHeight="1">
      <c r="A308" s="38" t="n">
        <v>44991</v>
      </c>
      <c r="B308" s="39" t="n">
        <v>135486.14</v>
      </c>
      <c r="C308" s="40">
        <f>LN(B308/B307)</f>
        <v/>
      </c>
      <c r="D308" s="41">
        <f>(B308/B307)-1</f>
        <v/>
      </c>
      <c r="E308" s="42">
        <f>C308^2</f>
        <v/>
      </c>
      <c r="F308" s="22" t="inlineStr"/>
    </row>
    <row r="309" ht="16" customHeight="1">
      <c r="A309" s="35" t="n">
        <v>44992</v>
      </c>
      <c r="B309" s="36" t="n">
        <v>135605.99</v>
      </c>
      <c r="C309" s="43">
        <f>LN(B309/B308)</f>
        <v/>
      </c>
      <c r="D309" s="44">
        <f>(B309/B308)-1</f>
        <v/>
      </c>
      <c r="E309" s="45">
        <f>C309^2</f>
        <v/>
      </c>
      <c r="F309" s="26" t="inlineStr"/>
    </row>
    <row r="310" ht="16" customHeight="1">
      <c r="A310" s="38" t="n">
        <v>44993</v>
      </c>
      <c r="B310" s="39" t="n">
        <v>138662.05</v>
      </c>
      <c r="C310" s="40">
        <f>LN(B310/B309)</f>
        <v/>
      </c>
      <c r="D310" s="41">
        <f>(B310/B309)-1</f>
        <v/>
      </c>
      <c r="E310" s="42">
        <f>C310^2</f>
        <v/>
      </c>
      <c r="F310" s="22" t="inlineStr"/>
    </row>
    <row r="311" ht="16" customHeight="1">
      <c r="A311" s="35" t="n">
        <v>44994</v>
      </c>
      <c r="B311" s="36" t="n">
        <v>140261.9</v>
      </c>
      <c r="C311" s="43">
        <f>LN(B311/B310)</f>
        <v/>
      </c>
      <c r="D311" s="44">
        <f>(B311/B310)-1</f>
        <v/>
      </c>
      <c r="E311" s="45">
        <f>C311^2</f>
        <v/>
      </c>
      <c r="F311" s="26" t="inlineStr"/>
    </row>
    <row r="312" ht="16" customHeight="1">
      <c r="A312" s="38" t="n">
        <v>44995</v>
      </c>
      <c r="B312" s="39" t="n">
        <v>142034.47</v>
      </c>
      <c r="C312" s="40">
        <f>LN(B312/B311)</f>
        <v/>
      </c>
      <c r="D312" s="41">
        <f>(B312/B311)-1</f>
        <v/>
      </c>
      <c r="E312" s="42">
        <f>C312^2</f>
        <v/>
      </c>
      <c r="F312" s="22" t="inlineStr"/>
    </row>
    <row r="313" ht="16" customHeight="1">
      <c r="A313" s="35" t="n">
        <v>44998</v>
      </c>
      <c r="B313" s="36" t="n">
        <v>140845.62</v>
      </c>
      <c r="C313" s="43">
        <f>LN(B313/B312)</f>
        <v/>
      </c>
      <c r="D313" s="44">
        <f>(B313/B312)-1</f>
        <v/>
      </c>
      <c r="E313" s="45">
        <f>C313^2</f>
        <v/>
      </c>
      <c r="F313" s="26" t="inlineStr"/>
    </row>
    <row r="314" ht="16" customHeight="1">
      <c r="A314" s="38" t="n">
        <v>44999</v>
      </c>
      <c r="B314" s="39" t="n">
        <v>142003.75</v>
      </c>
      <c r="C314" s="40">
        <f>LN(B314/B313)</f>
        <v/>
      </c>
      <c r="D314" s="41">
        <f>(B314/B313)-1</f>
        <v/>
      </c>
      <c r="E314" s="42">
        <f>C314^2</f>
        <v/>
      </c>
      <c r="F314" s="22" t="inlineStr"/>
    </row>
    <row r="315" ht="16" customHeight="1">
      <c r="A315" s="35" t="n">
        <v>45000</v>
      </c>
      <c r="B315" s="36" t="n">
        <v>140096.42</v>
      </c>
      <c r="C315" s="43">
        <f>LN(B315/B314)</f>
        <v/>
      </c>
      <c r="D315" s="44">
        <f>(B315/B314)-1</f>
        <v/>
      </c>
      <c r="E315" s="45">
        <f>C315^2</f>
        <v/>
      </c>
      <c r="F315" s="26" t="inlineStr"/>
    </row>
    <row r="316" ht="16" customHeight="1">
      <c r="A316" s="38" t="n">
        <v>45001</v>
      </c>
      <c r="B316" s="39" t="n">
        <v>140642.95</v>
      </c>
      <c r="C316" s="40">
        <f>LN(B316/B315)</f>
        <v/>
      </c>
      <c r="D316" s="41">
        <f>(B316/B315)-1</f>
        <v/>
      </c>
      <c r="E316" s="42">
        <f>C316^2</f>
        <v/>
      </c>
      <c r="F316" s="22" t="inlineStr"/>
    </row>
    <row r="317" ht="16" customHeight="1">
      <c r="A317" s="35" t="n">
        <v>45002</v>
      </c>
      <c r="B317" s="36" t="n">
        <v>141372.64</v>
      </c>
      <c r="C317" s="43">
        <f>LN(B317/B316)</f>
        <v/>
      </c>
      <c r="D317" s="44">
        <f>(B317/B316)-1</f>
        <v/>
      </c>
      <c r="E317" s="45">
        <f>C317^2</f>
        <v/>
      </c>
      <c r="F317" s="26" t="inlineStr"/>
    </row>
    <row r="318" ht="16" customHeight="1">
      <c r="A318" s="38" t="n">
        <v>45005</v>
      </c>
      <c r="B318" s="39" t="n">
        <v>140099.42</v>
      </c>
      <c r="C318" s="40">
        <f>LN(B318/B317)</f>
        <v/>
      </c>
      <c r="D318" s="41">
        <f>(B318/B317)-1</f>
        <v/>
      </c>
      <c r="E318" s="42">
        <f>C318^2</f>
        <v/>
      </c>
      <c r="F318" s="22" t="inlineStr"/>
    </row>
    <row r="319" ht="16" customHeight="1">
      <c r="A319" s="35" t="n">
        <v>45006</v>
      </c>
      <c r="B319" s="36" t="n">
        <v>143522.94</v>
      </c>
      <c r="C319" s="43">
        <f>LN(B319/B318)</f>
        <v/>
      </c>
      <c r="D319" s="44">
        <f>(B319/B318)-1</f>
        <v/>
      </c>
      <c r="E319" s="45">
        <f>C319^2</f>
        <v/>
      </c>
      <c r="F319" s="26" t="inlineStr"/>
    </row>
    <row r="320" ht="16" customHeight="1">
      <c r="A320" s="38" t="n">
        <v>45007</v>
      </c>
      <c r="B320" s="39" t="n">
        <v>144525.12</v>
      </c>
      <c r="C320" s="40">
        <f>LN(B320/B319)</f>
        <v/>
      </c>
      <c r="D320" s="41">
        <f>(B320/B319)-1</f>
        <v/>
      </c>
      <c r="E320" s="42">
        <f>C320^2</f>
        <v/>
      </c>
      <c r="F320" s="22" t="inlineStr"/>
    </row>
    <row r="321" ht="16" customHeight="1">
      <c r="A321" s="35" t="n">
        <v>45008</v>
      </c>
      <c r="B321" s="36" t="n">
        <v>141283.79</v>
      </c>
      <c r="C321" s="43">
        <f>LN(B321/B320)</f>
        <v/>
      </c>
      <c r="D321" s="44">
        <f>(B321/B320)-1</f>
        <v/>
      </c>
      <c r="E321" s="45">
        <f>C321^2</f>
        <v/>
      </c>
      <c r="F321" s="26" t="inlineStr"/>
    </row>
    <row r="322" ht="16" customHeight="1">
      <c r="A322" s="38" t="n">
        <v>45009</v>
      </c>
      <c r="B322" s="39" t="n">
        <v>142245.56</v>
      </c>
      <c r="C322" s="40">
        <f>LN(B322/B321)</f>
        <v/>
      </c>
      <c r="D322" s="41">
        <f>(B322/B321)-1</f>
        <v/>
      </c>
      <c r="E322" s="42">
        <f>C322^2</f>
        <v/>
      </c>
      <c r="F322" s="22" t="inlineStr"/>
    </row>
    <row r="323" ht="16" customHeight="1">
      <c r="A323" s="35" t="n">
        <v>45012</v>
      </c>
      <c r="B323" s="36" t="n">
        <v>141573.06</v>
      </c>
      <c r="C323" s="43">
        <f>LN(B323/B322)</f>
        <v/>
      </c>
      <c r="D323" s="44">
        <f>(B323/B322)-1</f>
        <v/>
      </c>
      <c r="E323" s="45">
        <f>C323^2</f>
        <v/>
      </c>
      <c r="F323" s="26" t="inlineStr"/>
    </row>
    <row r="324" ht="16" customHeight="1">
      <c r="A324" s="38" t="n">
        <v>45013</v>
      </c>
      <c r="B324" s="39" t="n">
        <v>141596.64</v>
      </c>
      <c r="C324" s="40">
        <f>LN(B324/B323)</f>
        <v/>
      </c>
      <c r="D324" s="41">
        <f>(B324/B323)-1</f>
        <v/>
      </c>
      <c r="E324" s="42">
        <f>C324^2</f>
        <v/>
      </c>
      <c r="F324" s="22" t="inlineStr"/>
    </row>
    <row r="325" ht="16" customHeight="1">
      <c r="A325" s="35" t="n">
        <v>45014</v>
      </c>
      <c r="B325" s="36" t="n">
        <v>142411.62</v>
      </c>
      <c r="C325" s="43">
        <f>LN(B325/B324)</f>
        <v/>
      </c>
      <c r="D325" s="44">
        <f>(B325/B324)-1</f>
        <v/>
      </c>
      <c r="E325" s="45">
        <f>C325^2</f>
        <v/>
      </c>
      <c r="F325" s="26" t="inlineStr"/>
    </row>
    <row r="326" ht="16" customHeight="1">
      <c r="A326" s="38" t="n">
        <v>45015</v>
      </c>
      <c r="B326" s="39" t="n">
        <v>143102.05</v>
      </c>
      <c r="C326" s="40">
        <f>LN(B326/B325)</f>
        <v/>
      </c>
      <c r="D326" s="41">
        <f>(B326/B325)-1</f>
        <v/>
      </c>
      <c r="E326" s="42">
        <f>C326^2</f>
        <v/>
      </c>
      <c r="F326" s="22" t="inlineStr"/>
    </row>
    <row r="327" ht="16" customHeight="1">
      <c r="A327" s="35" t="n">
        <v>45016</v>
      </c>
      <c r="B327" s="36" t="n">
        <v>139663.81</v>
      </c>
      <c r="C327" s="43">
        <f>LN(B327/B326)</f>
        <v/>
      </c>
      <c r="D327" s="44">
        <f>(B327/B326)-1</f>
        <v/>
      </c>
      <c r="E327" s="45">
        <f>C327^2</f>
        <v/>
      </c>
      <c r="F327" s="26" t="inlineStr"/>
    </row>
    <row r="328" ht="16" customHeight="1">
      <c r="A328" s="38" t="n">
        <v>45019</v>
      </c>
      <c r="B328" s="39" t="n">
        <v>137756.6</v>
      </c>
      <c r="C328" s="40">
        <f>LN(B328/B327)</f>
        <v/>
      </c>
      <c r="D328" s="41">
        <f>(B328/B327)-1</f>
        <v/>
      </c>
      <c r="E328" s="42">
        <f>C328^2</f>
        <v/>
      </c>
      <c r="F328" s="22" t="inlineStr"/>
    </row>
    <row r="329" ht="16" customHeight="1">
      <c r="A329" s="35" t="n">
        <v>45020</v>
      </c>
      <c r="B329" s="36" t="n">
        <v>139060.61</v>
      </c>
      <c r="C329" s="43">
        <f>LN(B329/B328)</f>
        <v/>
      </c>
      <c r="D329" s="44">
        <f>(B329/B328)-1</f>
        <v/>
      </c>
      <c r="E329" s="45">
        <f>C329^2</f>
        <v/>
      </c>
      <c r="F329" s="26" t="inlineStr"/>
    </row>
    <row r="330" ht="16" customHeight="1">
      <c r="A330" s="38" t="n">
        <v>45021</v>
      </c>
      <c r="B330" s="39" t="n">
        <v>141270.19</v>
      </c>
      <c r="C330" s="40">
        <f>LN(B330/B329)</f>
        <v/>
      </c>
      <c r="D330" s="41">
        <f>(B330/B329)-1</f>
        <v/>
      </c>
      <c r="E330" s="42">
        <f>C330^2</f>
        <v/>
      </c>
      <c r="F330" s="22" t="inlineStr"/>
    </row>
    <row r="331" ht="16" customHeight="1">
      <c r="A331" s="35" t="n">
        <v>45022</v>
      </c>
      <c r="B331" s="36" t="n">
        <v>144555.3</v>
      </c>
      <c r="C331" s="43">
        <f>LN(B331/B330)</f>
        <v/>
      </c>
      <c r="D331" s="44">
        <f>(B331/B330)-1</f>
        <v/>
      </c>
      <c r="E331" s="45">
        <f>C331^2</f>
        <v/>
      </c>
      <c r="F331" s="26" t="inlineStr"/>
    </row>
    <row r="332" ht="16" customHeight="1">
      <c r="A332" s="38" t="n">
        <v>45023</v>
      </c>
      <c r="B332" s="39" t="n">
        <v>147739.44</v>
      </c>
      <c r="C332" s="40">
        <f>LN(B332/B331)</f>
        <v/>
      </c>
      <c r="D332" s="41">
        <f>(B332/B331)-1</f>
        <v/>
      </c>
      <c r="E332" s="42">
        <f>C332^2</f>
        <v/>
      </c>
      <c r="F332" s="22" t="inlineStr"/>
    </row>
    <row r="333" ht="16" customHeight="1">
      <c r="A333" s="35" t="n">
        <v>45026</v>
      </c>
      <c r="B333" s="36" t="n">
        <v>144161.43</v>
      </c>
      <c r="C333" s="43">
        <f>LN(B333/B332)</f>
        <v/>
      </c>
      <c r="D333" s="44">
        <f>(B333/B332)-1</f>
        <v/>
      </c>
      <c r="E333" s="45">
        <f>C333^2</f>
        <v/>
      </c>
      <c r="F333" s="26" t="inlineStr"/>
    </row>
    <row r="334" ht="16" customHeight="1">
      <c r="A334" s="38" t="n">
        <v>45027</v>
      </c>
      <c r="B334" s="39" t="n">
        <v>145520.58</v>
      </c>
      <c r="C334" s="40">
        <f>LN(B334/B333)</f>
        <v/>
      </c>
      <c r="D334" s="41">
        <f>(B334/B333)-1</f>
        <v/>
      </c>
      <c r="E334" s="42">
        <f>C334^2</f>
        <v/>
      </c>
      <c r="F334" s="22" t="inlineStr"/>
    </row>
    <row r="335" ht="16" customHeight="1">
      <c r="A335" s="35" t="n">
        <v>45028</v>
      </c>
      <c r="B335" s="36" t="n">
        <v>142233.78</v>
      </c>
      <c r="C335" s="43">
        <f>LN(B335/B334)</f>
        <v/>
      </c>
      <c r="D335" s="44">
        <f>(B335/B334)-1</f>
        <v/>
      </c>
      <c r="E335" s="45">
        <f>C335^2</f>
        <v/>
      </c>
      <c r="F335" s="26" t="inlineStr"/>
    </row>
    <row r="336" ht="16" customHeight="1">
      <c r="A336" s="38" t="n">
        <v>45029</v>
      </c>
      <c r="B336" s="39" t="n">
        <v>145036.47</v>
      </c>
      <c r="C336" s="40">
        <f>LN(B336/B335)</f>
        <v/>
      </c>
      <c r="D336" s="41">
        <f>(B336/B335)-1</f>
        <v/>
      </c>
      <c r="E336" s="42">
        <f>C336^2</f>
        <v/>
      </c>
      <c r="F336" s="22" t="inlineStr"/>
    </row>
    <row r="337" ht="16" customHeight="1">
      <c r="A337" s="35" t="n">
        <v>45030</v>
      </c>
      <c r="B337" s="36" t="n">
        <v>145499.9</v>
      </c>
      <c r="C337" s="43">
        <f>LN(B337/B336)</f>
        <v/>
      </c>
      <c r="D337" s="44">
        <f>(B337/B336)-1</f>
        <v/>
      </c>
      <c r="E337" s="45">
        <f>C337^2</f>
        <v/>
      </c>
      <c r="F337" s="26" t="inlineStr"/>
    </row>
    <row r="338" ht="16" customHeight="1">
      <c r="A338" s="38" t="n">
        <v>45033</v>
      </c>
      <c r="B338" s="39" t="n">
        <v>143542.53</v>
      </c>
      <c r="C338" s="40">
        <f>LN(B338/B337)</f>
        <v/>
      </c>
      <c r="D338" s="41">
        <f>(B338/B337)-1</f>
        <v/>
      </c>
      <c r="E338" s="42">
        <f>C338^2</f>
        <v/>
      </c>
      <c r="F338" s="22" t="inlineStr"/>
    </row>
    <row r="339" ht="16" customHeight="1">
      <c r="A339" s="35" t="n">
        <v>45034</v>
      </c>
      <c r="B339" s="36" t="n">
        <v>147068.75</v>
      </c>
      <c r="C339" s="43">
        <f>LN(B339/B338)</f>
        <v/>
      </c>
      <c r="D339" s="44">
        <f>(B339/B338)-1</f>
        <v/>
      </c>
      <c r="E339" s="45">
        <f>C339^2</f>
        <v/>
      </c>
      <c r="F339" s="26" t="inlineStr"/>
    </row>
    <row r="340" ht="16" customHeight="1">
      <c r="A340" s="38" t="n">
        <v>45035</v>
      </c>
      <c r="B340" s="39" t="n">
        <v>148231.88</v>
      </c>
      <c r="C340" s="40">
        <f>LN(B340/B339)</f>
        <v/>
      </c>
      <c r="D340" s="41">
        <f>(B340/B339)-1</f>
        <v/>
      </c>
      <c r="E340" s="42">
        <f>C340^2</f>
        <v/>
      </c>
      <c r="F340" s="22" t="inlineStr"/>
    </row>
    <row r="341" ht="16" customHeight="1">
      <c r="A341" s="35" t="n">
        <v>45036</v>
      </c>
      <c r="B341" s="36" t="n">
        <v>144927.56</v>
      </c>
      <c r="C341" s="43">
        <f>LN(B341/B340)</f>
        <v/>
      </c>
      <c r="D341" s="44">
        <f>(B341/B340)-1</f>
        <v/>
      </c>
      <c r="E341" s="45">
        <f>C341^2</f>
        <v/>
      </c>
      <c r="F341" s="26" t="inlineStr"/>
    </row>
    <row r="342" ht="16" customHeight="1">
      <c r="A342" s="38" t="n">
        <v>45037</v>
      </c>
      <c r="B342" s="39" t="n">
        <v>145460.66</v>
      </c>
      <c r="C342" s="40">
        <f>LN(B342/B341)</f>
        <v/>
      </c>
      <c r="D342" s="41">
        <f>(B342/B341)-1</f>
        <v/>
      </c>
      <c r="E342" s="42">
        <f>C342^2</f>
        <v/>
      </c>
      <c r="F342" s="22" t="inlineStr"/>
    </row>
    <row r="343" ht="16" customHeight="1">
      <c r="A343" s="35" t="n">
        <v>45040</v>
      </c>
      <c r="B343" s="36" t="n">
        <v>151094.53</v>
      </c>
      <c r="C343" s="43">
        <f>LN(B343/B342)</f>
        <v/>
      </c>
      <c r="D343" s="44">
        <f>(B343/B342)-1</f>
        <v/>
      </c>
      <c r="E343" s="45">
        <f>C343^2</f>
        <v/>
      </c>
      <c r="F343" s="26" t="inlineStr"/>
    </row>
    <row r="344" ht="16" customHeight="1">
      <c r="A344" s="38" t="n">
        <v>45041</v>
      </c>
      <c r="B344" s="39" t="n">
        <v>149797.14</v>
      </c>
      <c r="C344" s="40">
        <f>LN(B344/B343)</f>
        <v/>
      </c>
      <c r="D344" s="41">
        <f>(B344/B343)-1</f>
        <v/>
      </c>
      <c r="E344" s="42">
        <f>C344^2</f>
        <v/>
      </c>
      <c r="F344" s="22" t="inlineStr"/>
    </row>
    <row r="345" ht="16" customHeight="1">
      <c r="A345" s="35" t="n">
        <v>45042</v>
      </c>
      <c r="B345" s="36" t="n">
        <v>150019.84</v>
      </c>
      <c r="C345" s="43">
        <f>LN(B345/B344)</f>
        <v/>
      </c>
      <c r="D345" s="44">
        <f>(B345/B344)-1</f>
        <v/>
      </c>
      <c r="E345" s="45">
        <f>C345^2</f>
        <v/>
      </c>
      <c r="F345" s="26" t="inlineStr"/>
    </row>
    <row r="346" ht="16" customHeight="1">
      <c r="A346" s="38" t="n">
        <v>45043</v>
      </c>
      <c r="B346" s="39" t="n">
        <v>149207.09</v>
      </c>
      <c r="C346" s="40">
        <f>LN(B346/B345)</f>
        <v/>
      </c>
      <c r="D346" s="41">
        <f>(B346/B345)-1</f>
        <v/>
      </c>
      <c r="E346" s="42">
        <f>C346^2</f>
        <v/>
      </c>
      <c r="F346" s="22" t="inlineStr"/>
    </row>
    <row r="347" ht="16" customHeight="1">
      <c r="A347" s="35" t="n">
        <v>45044</v>
      </c>
      <c r="B347" s="36" t="n">
        <v>151709.44</v>
      </c>
      <c r="C347" s="43">
        <f>LN(B347/B346)</f>
        <v/>
      </c>
      <c r="D347" s="44">
        <f>(B347/B346)-1</f>
        <v/>
      </c>
      <c r="E347" s="45">
        <f>C347^2</f>
        <v/>
      </c>
      <c r="F347" s="26" t="inlineStr"/>
    </row>
    <row r="348" ht="16" customHeight="1">
      <c r="A348" s="38" t="n">
        <v>45047</v>
      </c>
      <c r="B348" s="39" t="n">
        <v>149162.7</v>
      </c>
      <c r="C348" s="40">
        <f>LN(B348/B347)</f>
        <v/>
      </c>
      <c r="D348" s="41">
        <f>(B348/B347)-1</f>
        <v/>
      </c>
      <c r="E348" s="42">
        <f>C348^2</f>
        <v/>
      </c>
      <c r="F348" s="22" t="inlineStr"/>
    </row>
    <row r="349" ht="16" customHeight="1">
      <c r="A349" s="35" t="n">
        <v>45048</v>
      </c>
      <c r="B349" s="36" t="n">
        <v>149754.38</v>
      </c>
      <c r="C349" s="43">
        <f>LN(B349/B348)</f>
        <v/>
      </c>
      <c r="D349" s="44">
        <f>(B349/B348)-1</f>
        <v/>
      </c>
      <c r="E349" s="45">
        <f>C349^2</f>
        <v/>
      </c>
      <c r="F349" s="26" t="inlineStr"/>
    </row>
    <row r="350" ht="16" customHeight="1">
      <c r="A350" s="38" t="n">
        <v>45049</v>
      </c>
      <c r="B350" s="39" t="n">
        <v>153073.28</v>
      </c>
      <c r="C350" s="40">
        <f>LN(B350/B349)</f>
        <v/>
      </c>
      <c r="D350" s="41">
        <f>(B350/B349)-1</f>
        <v/>
      </c>
      <c r="E350" s="42">
        <f>C350^2</f>
        <v/>
      </c>
      <c r="F350" s="22" t="inlineStr"/>
    </row>
    <row r="351" ht="16" customHeight="1">
      <c r="A351" s="35" t="n">
        <v>45050</v>
      </c>
      <c r="B351" s="36" t="n">
        <v>151584.5</v>
      </c>
      <c r="C351" s="43">
        <f>LN(B351/B350)</f>
        <v/>
      </c>
      <c r="D351" s="44">
        <f>(B351/B350)-1</f>
        <v/>
      </c>
      <c r="E351" s="45">
        <f>C351^2</f>
        <v/>
      </c>
      <c r="F351" s="26" t="inlineStr"/>
    </row>
    <row r="352" ht="16" customHeight="1">
      <c r="A352" s="38" t="n">
        <v>45051</v>
      </c>
      <c r="B352" s="39" t="n">
        <v>151990.95</v>
      </c>
      <c r="C352" s="40">
        <f>LN(B352/B351)</f>
        <v/>
      </c>
      <c r="D352" s="41">
        <f>(B352/B351)-1</f>
        <v/>
      </c>
      <c r="E352" s="42">
        <f>C352^2</f>
        <v/>
      </c>
      <c r="F352" s="22" t="inlineStr"/>
    </row>
    <row r="353" ht="16" customHeight="1">
      <c r="A353" s="35" t="n">
        <v>45054</v>
      </c>
      <c r="B353" s="36" t="n">
        <v>152382.68</v>
      </c>
      <c r="C353" s="43">
        <f>LN(B353/B352)</f>
        <v/>
      </c>
      <c r="D353" s="44">
        <f>(B353/B352)-1</f>
        <v/>
      </c>
      <c r="E353" s="45">
        <f>C353^2</f>
        <v/>
      </c>
      <c r="F353" s="26" t="inlineStr"/>
    </row>
    <row r="354" ht="16" customHeight="1">
      <c r="A354" s="38" t="n">
        <v>45055</v>
      </c>
      <c r="B354" s="39" t="n">
        <v>151149.37</v>
      </c>
      <c r="C354" s="40">
        <f>LN(B354/B353)</f>
        <v/>
      </c>
      <c r="D354" s="41">
        <f>(B354/B353)-1</f>
        <v/>
      </c>
      <c r="E354" s="42">
        <f>C354^2</f>
        <v/>
      </c>
      <c r="F354" s="22" t="inlineStr"/>
    </row>
    <row r="355" ht="16" customHeight="1">
      <c r="A355" s="35" t="n">
        <v>45056</v>
      </c>
      <c r="B355" s="36" t="n">
        <v>152351.95</v>
      </c>
      <c r="C355" s="43">
        <f>LN(B355/B354)</f>
        <v/>
      </c>
      <c r="D355" s="44">
        <f>(B355/B354)-1</f>
        <v/>
      </c>
      <c r="E355" s="45">
        <f>C355^2</f>
        <v/>
      </c>
      <c r="F355" s="26" t="inlineStr"/>
    </row>
    <row r="356" ht="16" customHeight="1">
      <c r="A356" s="38" t="n">
        <v>45057</v>
      </c>
      <c r="B356" s="39" t="n">
        <v>152552.36</v>
      </c>
      <c r="C356" s="40">
        <f>LN(B356/B355)</f>
        <v/>
      </c>
      <c r="D356" s="41">
        <f>(B356/B355)-1</f>
        <v/>
      </c>
      <c r="E356" s="42">
        <f>C356^2</f>
        <v/>
      </c>
      <c r="F356" s="22" t="inlineStr"/>
    </row>
    <row r="357" ht="16" customHeight="1">
      <c r="A357" s="35" t="n">
        <v>45058</v>
      </c>
      <c r="B357" s="36" t="n">
        <v>150857.05</v>
      </c>
      <c r="C357" s="43">
        <f>LN(B357/B356)</f>
        <v/>
      </c>
      <c r="D357" s="44">
        <f>(B357/B356)-1</f>
        <v/>
      </c>
      <c r="E357" s="45">
        <f>C357^2</f>
        <v/>
      </c>
      <c r="F357" s="26" t="inlineStr"/>
    </row>
    <row r="358" ht="16" customHeight="1">
      <c r="A358" s="38" t="n">
        <v>45061</v>
      </c>
      <c r="B358" s="39" t="n">
        <v>154103.88</v>
      </c>
      <c r="C358" s="40">
        <f>LN(B358/B357)</f>
        <v/>
      </c>
      <c r="D358" s="41">
        <f>(B358/B357)-1</f>
        <v/>
      </c>
      <c r="E358" s="42">
        <f>C358^2</f>
        <v/>
      </c>
      <c r="F358" s="22" t="inlineStr"/>
    </row>
    <row r="359" ht="16" customHeight="1">
      <c r="A359" s="35" t="n">
        <v>45062</v>
      </c>
      <c r="B359" s="36" t="n">
        <v>155598.08</v>
      </c>
      <c r="C359" s="43">
        <f>LN(B359/B358)</f>
        <v/>
      </c>
      <c r="D359" s="44">
        <f>(B359/B358)-1</f>
        <v/>
      </c>
      <c r="E359" s="45">
        <f>C359^2</f>
        <v/>
      </c>
      <c r="F359" s="26" t="inlineStr"/>
    </row>
    <row r="360" ht="16" customHeight="1">
      <c r="A360" s="38" t="n">
        <v>45063</v>
      </c>
      <c r="B360" s="39" t="n">
        <v>155309.67</v>
      </c>
      <c r="C360" s="40">
        <f>LN(B360/B359)</f>
        <v/>
      </c>
      <c r="D360" s="41">
        <f>(B360/B359)-1</f>
        <v/>
      </c>
      <c r="E360" s="42">
        <f>C360^2</f>
        <v/>
      </c>
      <c r="F360" s="22" t="inlineStr"/>
    </row>
    <row r="361" ht="16" customHeight="1">
      <c r="A361" s="35" t="n">
        <v>45064</v>
      </c>
      <c r="B361" s="36" t="n">
        <v>154150.73</v>
      </c>
      <c r="C361" s="43">
        <f>LN(B361/B360)</f>
        <v/>
      </c>
      <c r="D361" s="44">
        <f>(B361/B360)-1</f>
        <v/>
      </c>
      <c r="E361" s="45">
        <f>C361^2</f>
        <v/>
      </c>
      <c r="F361" s="26" t="inlineStr"/>
    </row>
    <row r="362" ht="16" customHeight="1">
      <c r="A362" s="38" t="n">
        <v>45065</v>
      </c>
      <c r="B362" s="39" t="n">
        <v>152729.52</v>
      </c>
      <c r="C362" s="40">
        <f>LN(B362/B361)</f>
        <v/>
      </c>
      <c r="D362" s="41">
        <f>(B362/B361)-1</f>
        <v/>
      </c>
      <c r="E362" s="42">
        <f>C362^2</f>
        <v/>
      </c>
      <c r="F362" s="22" t="inlineStr"/>
    </row>
    <row r="363" ht="16" customHeight="1">
      <c r="A363" s="35" t="n">
        <v>45068</v>
      </c>
      <c r="B363" s="36" t="n">
        <v>155025.53</v>
      </c>
      <c r="C363" s="43">
        <f>LN(B363/B362)</f>
        <v/>
      </c>
      <c r="D363" s="44">
        <f>(B363/B362)-1</f>
        <v/>
      </c>
      <c r="E363" s="45">
        <f>C363^2</f>
        <v/>
      </c>
      <c r="F363" s="26" t="inlineStr"/>
    </row>
    <row r="364" ht="16" customHeight="1">
      <c r="A364" s="38" t="n">
        <v>45069</v>
      </c>
      <c r="B364" s="39" t="n">
        <v>154776.49</v>
      </c>
      <c r="C364" s="40">
        <f>LN(B364/B363)</f>
        <v/>
      </c>
      <c r="D364" s="41">
        <f>(B364/B363)-1</f>
        <v/>
      </c>
      <c r="E364" s="42">
        <f>C364^2</f>
        <v/>
      </c>
      <c r="F364" s="22" t="inlineStr"/>
    </row>
    <row r="365" ht="16" customHeight="1">
      <c r="A365" s="35" t="n">
        <v>45070</v>
      </c>
      <c r="B365" s="36" t="n">
        <v>155655.52</v>
      </c>
      <c r="C365" s="43">
        <f>LN(B365/B364)</f>
        <v/>
      </c>
      <c r="D365" s="44">
        <f>(B365/B364)-1</f>
        <v/>
      </c>
      <c r="E365" s="45">
        <f>C365^2</f>
        <v/>
      </c>
      <c r="F365" s="26" t="inlineStr"/>
    </row>
    <row r="366" ht="16" customHeight="1">
      <c r="A366" s="38" t="n">
        <v>45071</v>
      </c>
      <c r="B366" s="39" t="n">
        <v>155334.66</v>
      </c>
      <c r="C366" s="40">
        <f>LN(B366/B365)</f>
        <v/>
      </c>
      <c r="D366" s="41">
        <f>(B366/B365)-1</f>
        <v/>
      </c>
      <c r="E366" s="42">
        <f>C366^2</f>
        <v/>
      </c>
      <c r="F366" s="22" t="inlineStr"/>
    </row>
    <row r="367" ht="16" customHeight="1">
      <c r="A367" s="35" t="n">
        <v>45072</v>
      </c>
      <c r="B367" s="36" t="n">
        <v>156511.39</v>
      </c>
      <c r="C367" s="43">
        <f>LN(B367/B366)</f>
        <v/>
      </c>
      <c r="D367" s="44">
        <f>(B367/B366)-1</f>
        <v/>
      </c>
      <c r="E367" s="45">
        <f>C367^2</f>
        <v/>
      </c>
      <c r="F367" s="26" t="inlineStr"/>
    </row>
    <row r="368" ht="16" customHeight="1">
      <c r="A368" s="38" t="n">
        <v>45075</v>
      </c>
      <c r="B368" s="39" t="n">
        <v>156317.16</v>
      </c>
      <c r="C368" s="40">
        <f>LN(B368/B367)</f>
        <v/>
      </c>
      <c r="D368" s="41">
        <f>(B368/B367)-1</f>
        <v/>
      </c>
      <c r="E368" s="42">
        <f>C368^2</f>
        <v/>
      </c>
      <c r="F368" s="22" t="inlineStr"/>
    </row>
    <row r="369" ht="16" customHeight="1">
      <c r="A369" s="35" t="n">
        <v>45076</v>
      </c>
      <c r="B369" s="36" t="n">
        <v>157780.25</v>
      </c>
      <c r="C369" s="43">
        <f>LN(B369/B368)</f>
        <v/>
      </c>
      <c r="D369" s="44">
        <f>(B369/B368)-1</f>
        <v/>
      </c>
      <c r="E369" s="45">
        <f>C369^2</f>
        <v/>
      </c>
      <c r="F369" s="26" t="inlineStr"/>
    </row>
    <row r="370" ht="16" customHeight="1">
      <c r="A370" s="38" t="n">
        <v>45077</v>
      </c>
      <c r="B370" s="39" t="n">
        <v>157457.36</v>
      </c>
      <c r="C370" s="40">
        <f>LN(B370/B369)</f>
        <v/>
      </c>
      <c r="D370" s="41">
        <f>(B370/B369)-1</f>
        <v/>
      </c>
      <c r="E370" s="42">
        <f>C370^2</f>
        <v/>
      </c>
      <c r="F370" s="22" t="inlineStr"/>
    </row>
    <row r="371" ht="16" customHeight="1">
      <c r="A371" s="35" t="n">
        <v>45078</v>
      </c>
      <c r="B371" s="36" t="n">
        <v>159056.54</v>
      </c>
      <c r="C371" s="43">
        <f>LN(B371/B370)</f>
        <v/>
      </c>
      <c r="D371" s="44">
        <f>(B371/B370)-1</f>
        <v/>
      </c>
      <c r="E371" s="45">
        <f>C371^2</f>
        <v/>
      </c>
      <c r="F371" s="26" t="inlineStr"/>
    </row>
    <row r="372" ht="16" customHeight="1">
      <c r="A372" s="38" t="n">
        <v>45079</v>
      </c>
      <c r="B372" s="39" t="n">
        <v>160369.15</v>
      </c>
      <c r="C372" s="40">
        <f>LN(B372/B371)</f>
        <v/>
      </c>
      <c r="D372" s="41">
        <f>(B372/B371)-1</f>
        <v/>
      </c>
      <c r="E372" s="42">
        <f>C372^2</f>
        <v/>
      </c>
      <c r="F372" s="22" t="inlineStr"/>
    </row>
    <row r="373" ht="16" customHeight="1">
      <c r="A373" s="35" t="n">
        <v>45082</v>
      </c>
      <c r="B373" s="36" t="n">
        <v>160168.92</v>
      </c>
      <c r="C373" s="43">
        <f>LN(B373/B372)</f>
        <v/>
      </c>
      <c r="D373" s="44">
        <f>(B373/B372)-1</f>
        <v/>
      </c>
      <c r="E373" s="45">
        <f>C373^2</f>
        <v/>
      </c>
      <c r="F373" s="26" t="inlineStr"/>
    </row>
    <row r="374" ht="16" customHeight="1">
      <c r="A374" s="38" t="n">
        <v>45083</v>
      </c>
      <c r="B374" s="39" t="n">
        <v>158548.68</v>
      </c>
      <c r="C374" s="40">
        <f>LN(B374/B373)</f>
        <v/>
      </c>
      <c r="D374" s="41">
        <f>(B374/B373)-1</f>
        <v/>
      </c>
      <c r="E374" s="42">
        <f>C374^2</f>
        <v/>
      </c>
      <c r="F374" s="22" t="inlineStr"/>
    </row>
    <row r="375" ht="16" customHeight="1">
      <c r="A375" s="35" t="n">
        <v>45084</v>
      </c>
      <c r="B375" s="36" t="n">
        <v>156793.59</v>
      </c>
      <c r="C375" s="43">
        <f>LN(B375/B374)</f>
        <v/>
      </c>
      <c r="D375" s="44">
        <f>(B375/B374)-1</f>
        <v/>
      </c>
      <c r="E375" s="45">
        <f>C375^2</f>
        <v/>
      </c>
      <c r="F375" s="26" t="inlineStr"/>
    </row>
    <row r="376" ht="16" customHeight="1">
      <c r="A376" s="38" t="n">
        <v>45085</v>
      </c>
      <c r="B376" s="39" t="n">
        <v>155429.37</v>
      </c>
      <c r="C376" s="40">
        <f>LN(B376/B375)</f>
        <v/>
      </c>
      <c r="D376" s="41">
        <f>(B376/B375)-1</f>
        <v/>
      </c>
      <c r="E376" s="42">
        <f>C376^2</f>
        <v/>
      </c>
      <c r="F376" s="22" t="inlineStr"/>
    </row>
    <row r="377" ht="16" customHeight="1">
      <c r="A377" s="35" t="n">
        <v>45086</v>
      </c>
      <c r="B377" s="36" t="n">
        <v>153627</v>
      </c>
      <c r="C377" s="43">
        <f>LN(B377/B376)</f>
        <v/>
      </c>
      <c r="D377" s="44">
        <f>(B377/B376)-1</f>
        <v/>
      </c>
      <c r="E377" s="45">
        <f>C377^2</f>
        <v/>
      </c>
      <c r="F377" s="26" t="inlineStr"/>
    </row>
    <row r="378" ht="16" customHeight="1">
      <c r="A378" s="38" t="n">
        <v>45089</v>
      </c>
      <c r="B378" s="39" t="n">
        <v>155254.72</v>
      </c>
      <c r="C378" s="40">
        <f>LN(B378/B377)</f>
        <v/>
      </c>
      <c r="D378" s="41">
        <f>(B378/B377)-1</f>
        <v/>
      </c>
      <c r="E378" s="42">
        <f>C378^2</f>
        <v/>
      </c>
      <c r="F378" s="22" t="inlineStr"/>
    </row>
    <row r="379" ht="16" customHeight="1">
      <c r="A379" s="35" t="n">
        <v>45090</v>
      </c>
      <c r="B379" s="36" t="n">
        <v>155191.2</v>
      </c>
      <c r="C379" s="43">
        <f>LN(B379/B378)</f>
        <v/>
      </c>
      <c r="D379" s="44">
        <f>(B379/B378)-1</f>
        <v/>
      </c>
      <c r="E379" s="45">
        <f>C379^2</f>
        <v/>
      </c>
      <c r="F379" s="26" t="inlineStr"/>
    </row>
    <row r="380" ht="16" customHeight="1">
      <c r="A380" s="38" t="n">
        <v>45091</v>
      </c>
      <c r="B380" s="39" t="n">
        <v>158166.63</v>
      </c>
      <c r="C380" s="40">
        <f>LN(B380/B379)</f>
        <v/>
      </c>
      <c r="D380" s="41">
        <f>(B380/B379)-1</f>
        <v/>
      </c>
      <c r="E380" s="42">
        <f>C380^2</f>
        <v/>
      </c>
      <c r="F380" s="22" t="inlineStr"/>
    </row>
    <row r="381" ht="16" customHeight="1">
      <c r="A381" s="35" t="n">
        <v>45092</v>
      </c>
      <c r="B381" s="36" t="n">
        <v>162576.89</v>
      </c>
      <c r="C381" s="43">
        <f>LN(B381/B380)</f>
        <v/>
      </c>
      <c r="D381" s="44">
        <f>(B381/B380)-1</f>
        <v/>
      </c>
      <c r="E381" s="45">
        <f>C381^2</f>
        <v/>
      </c>
      <c r="F381" s="26" t="inlineStr"/>
    </row>
    <row r="382" ht="16" customHeight="1">
      <c r="A382" s="38" t="n">
        <v>45093</v>
      </c>
      <c r="B382" s="39" t="n">
        <v>162648.55</v>
      </c>
      <c r="C382" s="40">
        <f>LN(B382/B381)</f>
        <v/>
      </c>
      <c r="D382" s="41">
        <f>(B382/B381)-1</f>
        <v/>
      </c>
      <c r="E382" s="42">
        <f>C382^2</f>
        <v/>
      </c>
      <c r="F382" s="22" t="inlineStr"/>
    </row>
    <row r="383" ht="16" customHeight="1">
      <c r="A383" s="35" t="n">
        <v>45096</v>
      </c>
      <c r="B383" s="36" t="n">
        <v>157683.8</v>
      </c>
      <c r="C383" s="43">
        <f>LN(B383/B382)</f>
        <v/>
      </c>
      <c r="D383" s="44">
        <f>(B383/B382)-1</f>
        <v/>
      </c>
      <c r="E383" s="45">
        <f>C383^2</f>
        <v/>
      </c>
      <c r="F383" s="26" t="inlineStr"/>
    </row>
    <row r="384" ht="16" customHeight="1">
      <c r="A384" s="38" t="n">
        <v>45097</v>
      </c>
      <c r="B384" s="39" t="n">
        <v>154804.89</v>
      </c>
      <c r="C384" s="40">
        <f>LN(B384/B383)</f>
        <v/>
      </c>
      <c r="D384" s="41">
        <f>(B384/B383)-1</f>
        <v/>
      </c>
      <c r="E384" s="42">
        <f>C384^2</f>
        <v/>
      </c>
      <c r="F384" s="22" t="inlineStr"/>
    </row>
    <row r="385" ht="16" customHeight="1">
      <c r="A385" s="35" t="n">
        <v>45098</v>
      </c>
      <c r="B385" s="36" t="n">
        <v>154121.02</v>
      </c>
      <c r="C385" s="43">
        <f>LN(B385/B384)</f>
        <v/>
      </c>
      <c r="D385" s="44">
        <f>(B385/B384)-1</f>
        <v/>
      </c>
      <c r="E385" s="45">
        <f>C385^2</f>
        <v/>
      </c>
      <c r="F385" s="26" t="inlineStr"/>
    </row>
    <row r="386" ht="16" customHeight="1">
      <c r="A386" s="38" t="n">
        <v>45099</v>
      </c>
      <c r="B386" s="39" t="n">
        <v>154004.83</v>
      </c>
      <c r="C386" s="40">
        <f>LN(B386/B385)</f>
        <v/>
      </c>
      <c r="D386" s="41">
        <f>(B386/B385)-1</f>
        <v/>
      </c>
      <c r="E386" s="42">
        <f>C386^2</f>
        <v/>
      </c>
      <c r="F386" s="22" t="inlineStr"/>
    </row>
    <row r="387" ht="16" customHeight="1">
      <c r="A387" s="35" t="n">
        <v>45100</v>
      </c>
      <c r="B387" s="36" t="n">
        <v>151301.22</v>
      </c>
      <c r="C387" s="43">
        <f>LN(B387/B386)</f>
        <v/>
      </c>
      <c r="D387" s="44">
        <f>(B387/B386)-1</f>
        <v/>
      </c>
      <c r="E387" s="45">
        <f>C387^2</f>
        <v/>
      </c>
      <c r="F387" s="26" t="inlineStr"/>
    </row>
    <row r="388" ht="16" customHeight="1">
      <c r="A388" s="38" t="n">
        <v>45103</v>
      </c>
      <c r="B388" s="39" t="n">
        <v>150869.73</v>
      </c>
      <c r="C388" s="40">
        <f>LN(B388/B387)</f>
        <v/>
      </c>
      <c r="D388" s="41">
        <f>(B388/B387)-1</f>
        <v/>
      </c>
      <c r="E388" s="42">
        <f>C388^2</f>
        <v/>
      </c>
      <c r="F388" s="22" t="inlineStr"/>
    </row>
    <row r="389" ht="16" customHeight="1">
      <c r="A389" s="35" t="n">
        <v>45104</v>
      </c>
      <c r="B389" s="36" t="n">
        <v>151412.83</v>
      </c>
      <c r="C389" s="43">
        <f>LN(B389/B388)</f>
        <v/>
      </c>
      <c r="D389" s="44">
        <f>(B389/B388)-1</f>
        <v/>
      </c>
      <c r="E389" s="45">
        <f>C389^2</f>
        <v/>
      </c>
      <c r="F389" s="26" t="inlineStr"/>
    </row>
    <row r="390" ht="16" customHeight="1">
      <c r="A390" s="38" t="n">
        <v>45105</v>
      </c>
      <c r="B390" s="39" t="n">
        <v>150602.96</v>
      </c>
      <c r="C390" s="40">
        <f>LN(B390/B389)</f>
        <v/>
      </c>
      <c r="D390" s="41">
        <f>(B390/B389)-1</f>
        <v/>
      </c>
      <c r="E390" s="42">
        <f>C390^2</f>
        <v/>
      </c>
      <c r="F390" s="22" t="inlineStr"/>
    </row>
    <row r="391" ht="16" customHeight="1">
      <c r="A391" s="35" t="n">
        <v>45106</v>
      </c>
      <c r="B391" s="36" t="n">
        <v>149243</v>
      </c>
      <c r="C391" s="43">
        <f>LN(B391/B390)</f>
        <v/>
      </c>
      <c r="D391" s="44">
        <f>(B391/B390)-1</f>
        <v/>
      </c>
      <c r="E391" s="45">
        <f>C391^2</f>
        <v/>
      </c>
      <c r="F391" s="26" t="inlineStr"/>
    </row>
    <row r="392" ht="16" customHeight="1">
      <c r="A392" s="38" t="n">
        <v>45107</v>
      </c>
      <c r="B392" s="39" t="n">
        <v>147912.48</v>
      </c>
      <c r="C392" s="40">
        <f>LN(B392/B391)</f>
        <v/>
      </c>
      <c r="D392" s="41">
        <f>(B392/B391)-1</f>
        <v/>
      </c>
      <c r="E392" s="42">
        <f>C392^2</f>
        <v/>
      </c>
      <c r="F392" s="22" t="inlineStr"/>
    </row>
    <row r="393" ht="16" customHeight="1">
      <c r="A393" s="35" t="n">
        <v>45110</v>
      </c>
      <c r="B393" s="36" t="n">
        <v>151140.66</v>
      </c>
      <c r="C393" s="43">
        <f>LN(B393/B392)</f>
        <v/>
      </c>
      <c r="D393" s="44">
        <f>(B393/B392)-1</f>
        <v/>
      </c>
      <c r="E393" s="45">
        <f>C393^2</f>
        <v/>
      </c>
      <c r="F393" s="26" t="inlineStr"/>
    </row>
    <row r="394" ht="16" customHeight="1">
      <c r="A394" s="38" t="n">
        <v>45111</v>
      </c>
      <c r="B394" s="39" t="n">
        <v>150874.02</v>
      </c>
      <c r="C394" s="40">
        <f>LN(B394/B393)</f>
        <v/>
      </c>
      <c r="D394" s="41">
        <f>(B394/B393)-1</f>
        <v/>
      </c>
      <c r="E394" s="42">
        <f>C394^2</f>
        <v/>
      </c>
      <c r="F394" s="22" t="inlineStr"/>
    </row>
    <row r="395" ht="16" customHeight="1">
      <c r="A395" s="35" t="n">
        <v>45112</v>
      </c>
      <c r="B395" s="36" t="n">
        <v>149401.31</v>
      </c>
      <c r="C395" s="43">
        <f>LN(B395/B394)</f>
        <v/>
      </c>
      <c r="D395" s="44">
        <f>(B395/B394)-1</f>
        <v/>
      </c>
      <c r="E395" s="45">
        <f>C395^2</f>
        <v/>
      </c>
      <c r="F395" s="26" t="inlineStr"/>
    </row>
    <row r="396" ht="16" customHeight="1">
      <c r="A396" s="38" t="n">
        <v>45113</v>
      </c>
      <c r="B396" s="39" t="n">
        <v>148756.58</v>
      </c>
      <c r="C396" s="40">
        <f>LN(B396/B395)</f>
        <v/>
      </c>
      <c r="D396" s="41">
        <f>(B396/B395)-1</f>
        <v/>
      </c>
      <c r="E396" s="42">
        <f>C396^2</f>
        <v/>
      </c>
      <c r="F396" s="22" t="inlineStr"/>
    </row>
    <row r="397" ht="16" customHeight="1">
      <c r="A397" s="35" t="n">
        <v>45114</v>
      </c>
      <c r="B397" s="36" t="n">
        <v>150492.52</v>
      </c>
      <c r="C397" s="43">
        <f>LN(B397/B396)</f>
        <v/>
      </c>
      <c r="D397" s="44">
        <f>(B397/B396)-1</f>
        <v/>
      </c>
      <c r="E397" s="45">
        <f>C397^2</f>
        <v/>
      </c>
      <c r="F397" s="26" t="inlineStr"/>
    </row>
    <row r="398" ht="16" customHeight="1">
      <c r="A398" s="38" t="n">
        <v>45117</v>
      </c>
      <c r="B398" s="39" t="n">
        <v>149283.49</v>
      </c>
      <c r="C398" s="40">
        <f>LN(B398/B397)</f>
        <v/>
      </c>
      <c r="D398" s="41">
        <f>(B398/B397)-1</f>
        <v/>
      </c>
      <c r="E398" s="42">
        <f>C398^2</f>
        <v/>
      </c>
      <c r="F398" s="22" t="inlineStr"/>
    </row>
    <row r="399" ht="16" customHeight="1">
      <c r="A399" s="35" t="n">
        <v>45118</v>
      </c>
      <c r="B399" s="36" t="n">
        <v>150171.7</v>
      </c>
      <c r="C399" s="43">
        <f>LN(B399/B398)</f>
        <v/>
      </c>
      <c r="D399" s="44">
        <f>(B399/B398)-1</f>
        <v/>
      </c>
      <c r="E399" s="45">
        <f>C399^2</f>
        <v/>
      </c>
      <c r="F399" s="26" t="inlineStr"/>
    </row>
    <row r="400" ht="16" customHeight="1">
      <c r="A400" s="38" t="n">
        <v>45119</v>
      </c>
      <c r="B400" s="39" t="n">
        <v>151511.86</v>
      </c>
      <c r="C400" s="40">
        <f>LN(B400/B399)</f>
        <v/>
      </c>
      <c r="D400" s="41">
        <f>(B400/B399)-1</f>
        <v/>
      </c>
      <c r="E400" s="42">
        <f>C400^2</f>
        <v/>
      </c>
      <c r="F400" s="22" t="inlineStr"/>
    </row>
    <row r="401" ht="16" customHeight="1">
      <c r="A401" s="35" t="n">
        <v>45120</v>
      </c>
      <c r="B401" s="36" t="n">
        <v>152902.94</v>
      </c>
      <c r="C401" s="43">
        <f>LN(B401/B400)</f>
        <v/>
      </c>
      <c r="D401" s="44">
        <f>(B401/B400)-1</f>
        <v/>
      </c>
      <c r="E401" s="45">
        <f>C401^2</f>
        <v/>
      </c>
      <c r="F401" s="26" t="inlineStr"/>
    </row>
    <row r="402" ht="16" customHeight="1">
      <c r="A402" s="38" t="n">
        <v>45121</v>
      </c>
      <c r="B402" s="39" t="n">
        <v>155516.16</v>
      </c>
      <c r="C402" s="40">
        <f>LN(B402/B401)</f>
        <v/>
      </c>
      <c r="D402" s="41">
        <f>(B402/B401)-1</f>
        <v/>
      </c>
      <c r="E402" s="42">
        <f>C402^2</f>
        <v/>
      </c>
      <c r="F402" s="22" t="inlineStr"/>
    </row>
    <row r="403" ht="16" customHeight="1">
      <c r="A403" s="35" t="n">
        <v>45124</v>
      </c>
      <c r="B403" s="36" t="n">
        <v>154515.42</v>
      </c>
      <c r="C403" s="43">
        <f>LN(B403/B402)</f>
        <v/>
      </c>
      <c r="D403" s="44">
        <f>(B403/B402)-1</f>
        <v/>
      </c>
      <c r="E403" s="45">
        <f>C403^2</f>
        <v/>
      </c>
      <c r="F403" s="26" t="inlineStr"/>
    </row>
    <row r="404" ht="16" customHeight="1">
      <c r="A404" s="38" t="n">
        <v>45125</v>
      </c>
      <c r="B404" s="39" t="n">
        <v>156653.55</v>
      </c>
      <c r="C404" s="40">
        <f>LN(B404/B403)</f>
        <v/>
      </c>
      <c r="D404" s="41">
        <f>(B404/B403)-1</f>
        <v/>
      </c>
      <c r="E404" s="42">
        <f>C404^2</f>
        <v/>
      </c>
      <c r="F404" s="22" t="inlineStr"/>
    </row>
    <row r="405" ht="16" customHeight="1">
      <c r="A405" s="35" t="n">
        <v>45126</v>
      </c>
      <c r="B405" s="36" t="n">
        <v>155193.46</v>
      </c>
      <c r="C405" s="43">
        <f>LN(B405/B404)</f>
        <v/>
      </c>
      <c r="D405" s="44">
        <f>(B405/B404)-1</f>
        <v/>
      </c>
      <c r="E405" s="45">
        <f>C405^2</f>
        <v/>
      </c>
      <c r="F405" s="26" t="inlineStr"/>
    </row>
    <row r="406" ht="16" customHeight="1">
      <c r="A406" s="38" t="n">
        <v>45127</v>
      </c>
      <c r="B406" s="39" t="n">
        <v>154479.9</v>
      </c>
      <c r="C406" s="40">
        <f>LN(B406/B405)</f>
        <v/>
      </c>
      <c r="D406" s="41">
        <f>(B406/B405)-1</f>
        <v/>
      </c>
      <c r="E406" s="42">
        <f>C406^2</f>
        <v/>
      </c>
      <c r="F406" s="22" t="inlineStr"/>
    </row>
    <row r="407" ht="16" customHeight="1">
      <c r="A407" s="35" t="n">
        <v>45128</v>
      </c>
      <c r="B407" s="36" t="n">
        <v>156736.65</v>
      </c>
      <c r="C407" s="43">
        <f>LN(B407/B406)</f>
        <v/>
      </c>
      <c r="D407" s="44">
        <f>(B407/B406)-1</f>
        <v/>
      </c>
      <c r="E407" s="45">
        <f>C407^2</f>
        <v/>
      </c>
      <c r="F407" s="26" t="inlineStr"/>
    </row>
    <row r="408" ht="16" customHeight="1">
      <c r="A408" s="38" t="n">
        <v>45131</v>
      </c>
      <c r="B408" s="39" t="n">
        <v>158314.81</v>
      </c>
      <c r="C408" s="40">
        <f>LN(B408/B407)</f>
        <v/>
      </c>
      <c r="D408" s="41">
        <f>(B408/B407)-1</f>
        <v/>
      </c>
      <c r="E408" s="42">
        <f>C408^2</f>
        <v/>
      </c>
      <c r="F408" s="22" t="inlineStr"/>
    </row>
    <row r="409" ht="16" customHeight="1">
      <c r="A409" s="35" t="n">
        <v>45132</v>
      </c>
      <c r="B409" s="36" t="n">
        <v>158342.54</v>
      </c>
      <c r="C409" s="43">
        <f>LN(B409/B408)</f>
        <v/>
      </c>
      <c r="D409" s="44">
        <f>(B409/B408)-1</f>
        <v/>
      </c>
      <c r="E409" s="45">
        <f>C409^2</f>
        <v/>
      </c>
      <c r="F409" s="26" t="inlineStr"/>
    </row>
    <row r="410" ht="16" customHeight="1">
      <c r="A410" s="38" t="n">
        <v>45133</v>
      </c>
      <c r="B410" s="39" t="n">
        <v>156118.24</v>
      </c>
      <c r="C410" s="40">
        <f>LN(B410/B409)</f>
        <v/>
      </c>
      <c r="D410" s="41">
        <f>(B410/B409)-1</f>
        <v/>
      </c>
      <c r="E410" s="42">
        <f>C410^2</f>
        <v/>
      </c>
      <c r="F410" s="22" t="inlineStr"/>
    </row>
    <row r="411" ht="16" customHeight="1">
      <c r="A411" s="35" t="n">
        <v>45134</v>
      </c>
      <c r="B411" s="36" t="n">
        <v>157197.6</v>
      </c>
      <c r="C411" s="43">
        <f>LN(B411/B410)</f>
        <v/>
      </c>
      <c r="D411" s="44">
        <f>(B411/B410)-1</f>
        <v/>
      </c>
      <c r="E411" s="45">
        <f>C411^2</f>
        <v/>
      </c>
      <c r="F411" s="26" t="inlineStr"/>
    </row>
    <row r="412" ht="16" customHeight="1">
      <c r="A412" s="38" t="n">
        <v>45135</v>
      </c>
      <c r="B412" s="39" t="n">
        <v>156036.37</v>
      </c>
      <c r="C412" s="40">
        <f>LN(B412/B411)</f>
        <v/>
      </c>
      <c r="D412" s="41">
        <f>(B412/B411)-1</f>
        <v/>
      </c>
      <c r="E412" s="42">
        <f>C412^2</f>
        <v/>
      </c>
      <c r="F412" s="22" t="inlineStr"/>
    </row>
    <row r="413" ht="16" customHeight="1">
      <c r="A413" s="35" t="n">
        <v>45138</v>
      </c>
      <c r="B413" s="36" t="n">
        <v>154339.16</v>
      </c>
      <c r="C413" s="43">
        <f>LN(B413/B412)</f>
        <v/>
      </c>
      <c r="D413" s="44">
        <f>(B413/B412)-1</f>
        <v/>
      </c>
      <c r="E413" s="45">
        <f>C413^2</f>
        <v/>
      </c>
      <c r="F413" s="26" t="inlineStr"/>
    </row>
    <row r="414" ht="16" customHeight="1">
      <c r="A414" s="38" t="n">
        <v>45139</v>
      </c>
      <c r="B414" s="39" t="n">
        <v>153166.4</v>
      </c>
      <c r="C414" s="40">
        <f>LN(B414/B413)</f>
        <v/>
      </c>
      <c r="D414" s="41">
        <f>(B414/B413)-1</f>
        <v/>
      </c>
      <c r="E414" s="42">
        <f>C414^2</f>
        <v/>
      </c>
      <c r="F414" s="22" t="inlineStr"/>
    </row>
    <row r="415" ht="16" customHeight="1">
      <c r="A415" s="35" t="n">
        <v>45140</v>
      </c>
      <c r="B415" s="36" t="n">
        <v>153643.17</v>
      </c>
      <c r="C415" s="43">
        <f>LN(B415/B414)</f>
        <v/>
      </c>
      <c r="D415" s="44">
        <f>(B415/B414)-1</f>
        <v/>
      </c>
      <c r="E415" s="45">
        <f>C415^2</f>
        <v/>
      </c>
      <c r="F415" s="26" t="inlineStr"/>
    </row>
    <row r="416" ht="16" customHeight="1">
      <c r="A416" s="38" t="n">
        <v>45141</v>
      </c>
      <c r="B416" s="39" t="n">
        <v>149804.4</v>
      </c>
      <c r="C416" s="40">
        <f>LN(B416/B415)</f>
        <v/>
      </c>
      <c r="D416" s="41">
        <f>(B416/B415)-1</f>
        <v/>
      </c>
      <c r="E416" s="42">
        <f>C416^2</f>
        <v/>
      </c>
      <c r="F416" s="22" t="inlineStr"/>
    </row>
    <row r="417" ht="16" customHeight="1">
      <c r="A417" s="35" t="n">
        <v>45142</v>
      </c>
      <c r="B417" s="36" t="n">
        <v>150476.9</v>
      </c>
      <c r="C417" s="43">
        <f>LN(B417/B416)</f>
        <v/>
      </c>
      <c r="D417" s="44">
        <f>(B417/B416)-1</f>
        <v/>
      </c>
      <c r="E417" s="45">
        <f>C417^2</f>
        <v/>
      </c>
      <c r="F417" s="26" t="inlineStr"/>
    </row>
    <row r="418" ht="16" customHeight="1">
      <c r="A418" s="38" t="n">
        <v>45145</v>
      </c>
      <c r="B418" s="39" t="n">
        <v>150813.88</v>
      </c>
      <c r="C418" s="40">
        <f>LN(B418/B417)</f>
        <v/>
      </c>
      <c r="D418" s="41">
        <f>(B418/B417)-1</f>
        <v/>
      </c>
      <c r="E418" s="42">
        <f>C418^2</f>
        <v/>
      </c>
      <c r="F418" s="22" t="inlineStr"/>
    </row>
    <row r="419" ht="16" customHeight="1">
      <c r="A419" s="35" t="n">
        <v>45146</v>
      </c>
      <c r="B419" s="36" t="n">
        <v>149782.19</v>
      </c>
      <c r="C419" s="43">
        <f>LN(B419/B418)</f>
        <v/>
      </c>
      <c r="D419" s="44">
        <f>(B419/B418)-1</f>
        <v/>
      </c>
      <c r="E419" s="45">
        <f>C419^2</f>
        <v/>
      </c>
      <c r="F419" s="26" t="inlineStr"/>
    </row>
    <row r="420" ht="16" customHeight="1">
      <c r="A420" s="38" t="n">
        <v>45147</v>
      </c>
      <c r="B420" s="39" t="n">
        <v>151680.34</v>
      </c>
      <c r="C420" s="40">
        <f>LN(B420/B419)</f>
        <v/>
      </c>
      <c r="D420" s="41">
        <f>(B420/B419)-1</f>
        <v/>
      </c>
      <c r="E420" s="42">
        <f>C420^2</f>
        <v/>
      </c>
      <c r="F420" s="22" t="inlineStr"/>
    </row>
    <row r="421" ht="16" customHeight="1">
      <c r="A421" s="35" t="n">
        <v>45148</v>
      </c>
      <c r="B421" s="36" t="n">
        <v>152820.28</v>
      </c>
      <c r="C421" s="43">
        <f>LN(B421/B420)</f>
        <v/>
      </c>
      <c r="D421" s="44">
        <f>(B421/B420)-1</f>
        <v/>
      </c>
      <c r="E421" s="45">
        <f>C421^2</f>
        <v/>
      </c>
      <c r="F421" s="26" t="inlineStr"/>
    </row>
    <row r="422" ht="16" customHeight="1">
      <c r="A422" s="38" t="n">
        <v>45149</v>
      </c>
      <c r="B422" s="39" t="n">
        <v>151735.24</v>
      </c>
      <c r="C422" s="40">
        <f>LN(B422/B421)</f>
        <v/>
      </c>
      <c r="D422" s="41">
        <f>(B422/B421)-1</f>
        <v/>
      </c>
      <c r="E422" s="42">
        <f>C422^2</f>
        <v/>
      </c>
      <c r="F422" s="22" t="inlineStr"/>
    </row>
    <row r="423" ht="16" customHeight="1">
      <c r="A423" s="35" t="n">
        <v>45152</v>
      </c>
      <c r="B423" s="36" t="n">
        <v>157297.22</v>
      </c>
      <c r="C423" s="43">
        <f>LN(B423/B422)</f>
        <v/>
      </c>
      <c r="D423" s="44">
        <f>(B423/B422)-1</f>
        <v/>
      </c>
      <c r="E423" s="45">
        <f>C423^2</f>
        <v/>
      </c>
      <c r="F423" s="26" t="inlineStr"/>
    </row>
    <row r="424" ht="16" customHeight="1">
      <c r="A424" s="38" t="n">
        <v>45153</v>
      </c>
      <c r="B424" s="39" t="n">
        <v>156061</v>
      </c>
      <c r="C424" s="40">
        <f>LN(B424/B423)</f>
        <v/>
      </c>
      <c r="D424" s="41">
        <f>(B424/B423)-1</f>
        <v/>
      </c>
      <c r="E424" s="42">
        <f>C424^2</f>
        <v/>
      </c>
      <c r="F424" s="22" t="inlineStr"/>
    </row>
    <row r="425" ht="16" customHeight="1">
      <c r="A425" s="35" t="n">
        <v>45154</v>
      </c>
      <c r="B425" s="36" t="n">
        <v>157391.88</v>
      </c>
      <c r="C425" s="43">
        <f>LN(B425/B424)</f>
        <v/>
      </c>
      <c r="D425" s="44">
        <f>(B425/B424)-1</f>
        <v/>
      </c>
      <c r="E425" s="45">
        <f>C425^2</f>
        <v/>
      </c>
      <c r="F425" s="26" t="inlineStr"/>
    </row>
    <row r="426" ht="16" customHeight="1">
      <c r="A426" s="38" t="n">
        <v>45155</v>
      </c>
      <c r="B426" s="39" t="n">
        <v>154577.54</v>
      </c>
      <c r="C426" s="40">
        <f>LN(B426/B425)</f>
        <v/>
      </c>
      <c r="D426" s="41">
        <f>(B426/B425)-1</f>
        <v/>
      </c>
      <c r="E426" s="42">
        <f>C426^2</f>
        <v/>
      </c>
      <c r="F426" s="22" t="inlineStr"/>
    </row>
    <row r="427" ht="16" customHeight="1">
      <c r="A427" s="35" t="n">
        <v>45156</v>
      </c>
      <c r="B427" s="36" t="n">
        <v>153984.87</v>
      </c>
      <c r="C427" s="43">
        <f>LN(B427/B426)</f>
        <v/>
      </c>
      <c r="D427" s="44">
        <f>(B427/B426)-1</f>
        <v/>
      </c>
      <c r="E427" s="45">
        <f>C427^2</f>
        <v/>
      </c>
      <c r="F427" s="26" t="inlineStr"/>
    </row>
    <row r="428" ht="16" customHeight="1">
      <c r="A428" s="38" t="n">
        <v>45159</v>
      </c>
      <c r="B428" s="39" t="n">
        <v>152846.14</v>
      </c>
      <c r="C428" s="40">
        <f>LN(B428/B427)</f>
        <v/>
      </c>
      <c r="D428" s="41">
        <f>(B428/B427)-1</f>
        <v/>
      </c>
      <c r="E428" s="42">
        <f>C428^2</f>
        <v/>
      </c>
      <c r="F428" s="22" t="inlineStr"/>
    </row>
    <row r="429" ht="16" customHeight="1">
      <c r="A429" s="35" t="n">
        <v>45160</v>
      </c>
      <c r="B429" s="36" t="n">
        <v>152997.31</v>
      </c>
      <c r="C429" s="43">
        <f>LN(B429/B428)</f>
        <v/>
      </c>
      <c r="D429" s="44">
        <f>(B429/B428)-1</f>
        <v/>
      </c>
      <c r="E429" s="45">
        <f>C429^2</f>
        <v/>
      </c>
      <c r="F429" s="26" t="inlineStr"/>
    </row>
    <row r="430" ht="16" customHeight="1">
      <c r="A430" s="38" t="n">
        <v>45161</v>
      </c>
      <c r="B430" s="39" t="n">
        <v>153408.43</v>
      </c>
      <c r="C430" s="40">
        <f>LN(B430/B429)</f>
        <v/>
      </c>
      <c r="D430" s="41">
        <f>(B430/B429)-1</f>
        <v/>
      </c>
      <c r="E430" s="42">
        <f>C430^2</f>
        <v/>
      </c>
      <c r="F430" s="22" t="inlineStr"/>
    </row>
    <row r="431" ht="16" customHeight="1">
      <c r="A431" s="35" t="n">
        <v>45162</v>
      </c>
      <c r="B431" s="36" t="n">
        <v>153499.19</v>
      </c>
      <c r="C431" s="43">
        <f>LN(B431/B430)</f>
        <v/>
      </c>
      <c r="D431" s="44">
        <f>(B431/B430)-1</f>
        <v/>
      </c>
      <c r="E431" s="45">
        <f>C431^2</f>
        <v/>
      </c>
      <c r="F431" s="26" t="inlineStr"/>
    </row>
    <row r="432" ht="16" customHeight="1">
      <c r="A432" s="38" t="n">
        <v>45163</v>
      </c>
      <c r="B432" s="39" t="n">
        <v>155627.21</v>
      </c>
      <c r="C432" s="40">
        <f>LN(B432/B431)</f>
        <v/>
      </c>
      <c r="D432" s="41">
        <f>(B432/B431)-1</f>
        <v/>
      </c>
      <c r="E432" s="42">
        <f>C432^2</f>
        <v/>
      </c>
      <c r="F432" s="22" t="inlineStr"/>
    </row>
    <row r="433" ht="16" customHeight="1">
      <c r="A433" s="35" t="n">
        <v>45166</v>
      </c>
      <c r="B433" s="36" t="n">
        <v>156077.12</v>
      </c>
      <c r="C433" s="43">
        <f>LN(B433/B432)</f>
        <v/>
      </c>
      <c r="D433" s="44">
        <f>(B433/B432)-1</f>
        <v/>
      </c>
      <c r="E433" s="45">
        <f>C433^2</f>
        <v/>
      </c>
      <c r="F433" s="26" t="inlineStr"/>
    </row>
    <row r="434" ht="16" customHeight="1">
      <c r="A434" s="38" t="n">
        <v>45167</v>
      </c>
      <c r="B434" s="39" t="n">
        <v>155511.6</v>
      </c>
      <c r="C434" s="40">
        <f>LN(B434/B433)</f>
        <v/>
      </c>
      <c r="D434" s="41">
        <f>(B434/B433)-1</f>
        <v/>
      </c>
      <c r="E434" s="42">
        <f>C434^2</f>
        <v/>
      </c>
      <c r="F434" s="22" t="inlineStr"/>
    </row>
    <row r="435" ht="16" customHeight="1">
      <c r="A435" s="35" t="n">
        <v>45168</v>
      </c>
      <c r="B435" s="36" t="n">
        <v>153291.31</v>
      </c>
      <c r="C435" s="43">
        <f>LN(B435/B434)</f>
        <v/>
      </c>
      <c r="D435" s="44">
        <f>(B435/B434)-1</f>
        <v/>
      </c>
      <c r="E435" s="45">
        <f>C435^2</f>
        <v/>
      </c>
      <c r="F435" s="26" t="inlineStr"/>
    </row>
    <row r="436" ht="16" customHeight="1">
      <c r="A436" s="38" t="n">
        <v>45169</v>
      </c>
      <c r="B436" s="39" t="n">
        <v>154648.11</v>
      </c>
      <c r="C436" s="40">
        <f>LN(B436/B435)</f>
        <v/>
      </c>
      <c r="D436" s="41">
        <f>(B436/B435)-1</f>
        <v/>
      </c>
      <c r="E436" s="42">
        <f>C436^2</f>
        <v/>
      </c>
      <c r="F436" s="22" t="inlineStr"/>
    </row>
    <row r="437" ht="16" customHeight="1">
      <c r="A437" s="35" t="n">
        <v>45170</v>
      </c>
      <c r="B437" s="36" t="n">
        <v>155654.69</v>
      </c>
      <c r="C437" s="43">
        <f>LN(B437/B436)</f>
        <v/>
      </c>
      <c r="D437" s="44">
        <f>(B437/B436)-1</f>
        <v/>
      </c>
      <c r="E437" s="45">
        <f>C437^2</f>
        <v/>
      </c>
      <c r="F437" s="26" t="inlineStr"/>
    </row>
    <row r="438" ht="16" customHeight="1">
      <c r="A438" s="38" t="n">
        <v>45173</v>
      </c>
      <c r="B438" s="39" t="n">
        <v>158412.08</v>
      </c>
      <c r="C438" s="40">
        <f>LN(B438/B437)</f>
        <v/>
      </c>
      <c r="D438" s="41">
        <f>(B438/B437)-1</f>
        <v/>
      </c>
      <c r="E438" s="42">
        <f>C438^2</f>
        <v/>
      </c>
      <c r="F438" s="22" t="inlineStr"/>
    </row>
    <row r="439" ht="16" customHeight="1">
      <c r="A439" s="35" t="n">
        <v>45174</v>
      </c>
      <c r="B439" s="36" t="n">
        <v>157021.11</v>
      </c>
      <c r="C439" s="43">
        <f>LN(B439/B438)</f>
        <v/>
      </c>
      <c r="D439" s="44">
        <f>(B439/B438)-1</f>
        <v/>
      </c>
      <c r="E439" s="45">
        <f>C439^2</f>
        <v/>
      </c>
      <c r="F439" s="26" t="inlineStr"/>
    </row>
    <row r="440" ht="16" customHeight="1">
      <c r="A440" s="38" t="n">
        <v>45175</v>
      </c>
      <c r="B440" s="39" t="n">
        <v>157094.46</v>
      </c>
      <c r="C440" s="40">
        <f>LN(B440/B439)</f>
        <v/>
      </c>
      <c r="D440" s="41">
        <f>(B440/B439)-1</f>
        <v/>
      </c>
      <c r="E440" s="42">
        <f>C440^2</f>
        <v/>
      </c>
      <c r="F440" s="22" t="inlineStr"/>
    </row>
    <row r="441" ht="16" customHeight="1">
      <c r="A441" s="35" t="n">
        <v>45176</v>
      </c>
      <c r="B441" s="36" t="n">
        <v>157007.4</v>
      </c>
      <c r="C441" s="43">
        <f>LN(B441/B440)</f>
        <v/>
      </c>
      <c r="D441" s="44">
        <f>(B441/B440)-1</f>
        <v/>
      </c>
      <c r="E441" s="45">
        <f>C441^2</f>
        <v/>
      </c>
      <c r="F441" s="26" t="inlineStr"/>
    </row>
    <row r="442" ht="16" customHeight="1">
      <c r="A442" s="38" t="n">
        <v>45177</v>
      </c>
      <c r="B442" s="39" t="n">
        <v>156865.95</v>
      </c>
      <c r="C442" s="40">
        <f>LN(B442/B441)</f>
        <v/>
      </c>
      <c r="D442" s="41">
        <f>(B442/B441)-1</f>
        <v/>
      </c>
      <c r="E442" s="42">
        <f>C442^2</f>
        <v/>
      </c>
      <c r="F442" s="22" t="inlineStr"/>
    </row>
    <row r="443" ht="16" customHeight="1">
      <c r="A443" s="35" t="n">
        <v>45180</v>
      </c>
      <c r="B443" s="36" t="n">
        <v>156909.04</v>
      </c>
      <c r="C443" s="43">
        <f>LN(B443/B442)</f>
        <v/>
      </c>
      <c r="D443" s="44">
        <f>(B443/B442)-1</f>
        <v/>
      </c>
      <c r="E443" s="45">
        <f>C443^2</f>
        <v/>
      </c>
      <c r="F443" s="26" t="inlineStr"/>
    </row>
    <row r="444" ht="16" customHeight="1">
      <c r="A444" s="38" t="n">
        <v>45181</v>
      </c>
      <c r="B444" s="39" t="n">
        <v>153736.76</v>
      </c>
      <c r="C444" s="40">
        <f>LN(B444/B443)</f>
        <v/>
      </c>
      <c r="D444" s="41">
        <f>(B444/B443)-1</f>
        <v/>
      </c>
      <c r="E444" s="42">
        <f>C444^2</f>
        <v/>
      </c>
      <c r="F444" s="22" t="inlineStr"/>
    </row>
    <row r="445" ht="16" customHeight="1">
      <c r="A445" s="35" t="n">
        <v>45182</v>
      </c>
      <c r="B445" s="36" t="n">
        <v>155289.58</v>
      </c>
      <c r="C445" s="43">
        <f>LN(B445/B444)</f>
        <v/>
      </c>
      <c r="D445" s="44">
        <f>(B445/B444)-1</f>
        <v/>
      </c>
      <c r="E445" s="45">
        <f>C445^2</f>
        <v/>
      </c>
      <c r="F445" s="26" t="inlineStr"/>
    </row>
    <row r="446" ht="16" customHeight="1">
      <c r="A446" s="38" t="n">
        <v>45183</v>
      </c>
      <c r="B446" s="39" t="n">
        <v>156535.07</v>
      </c>
      <c r="C446" s="40">
        <f>LN(B446/B445)</f>
        <v/>
      </c>
      <c r="D446" s="41">
        <f>(B446/B445)-1</f>
        <v/>
      </c>
      <c r="E446" s="42">
        <f>C446^2</f>
        <v/>
      </c>
      <c r="F446" s="22" t="inlineStr"/>
    </row>
    <row r="447" ht="16" customHeight="1">
      <c r="A447" s="35" t="n">
        <v>45184</v>
      </c>
      <c r="B447" s="36" t="n">
        <v>158696.85</v>
      </c>
      <c r="C447" s="43">
        <f>LN(B447/B446)</f>
        <v/>
      </c>
      <c r="D447" s="44">
        <f>(B447/B446)-1</f>
        <v/>
      </c>
      <c r="E447" s="45">
        <f>C447^2</f>
        <v/>
      </c>
      <c r="F447" s="26" t="inlineStr"/>
    </row>
    <row r="448" ht="16" customHeight="1">
      <c r="A448" s="38" t="n">
        <v>45187</v>
      </c>
      <c r="B448" s="39" t="n">
        <v>163063.66</v>
      </c>
      <c r="C448" s="40">
        <f>LN(B448/B447)</f>
        <v/>
      </c>
      <c r="D448" s="41">
        <f>(B448/B447)-1</f>
        <v/>
      </c>
      <c r="E448" s="42">
        <f>C448^2</f>
        <v/>
      </c>
      <c r="F448" s="22" t="inlineStr"/>
    </row>
    <row r="449" ht="16" customHeight="1">
      <c r="A449" s="35" t="n">
        <v>45188</v>
      </c>
      <c r="B449" s="36" t="n">
        <v>162465.08</v>
      </c>
      <c r="C449" s="43">
        <f>LN(B449/B448)</f>
        <v/>
      </c>
      <c r="D449" s="44">
        <f>(B449/B448)-1</f>
        <v/>
      </c>
      <c r="E449" s="45">
        <f>C449^2</f>
        <v/>
      </c>
      <c r="F449" s="26" t="inlineStr"/>
    </row>
    <row r="450" ht="16" customHeight="1">
      <c r="A450" s="38" t="n">
        <v>45189</v>
      </c>
      <c r="B450" s="39" t="n">
        <v>162418.99</v>
      </c>
      <c r="C450" s="40">
        <f>LN(B450/B449)</f>
        <v/>
      </c>
      <c r="D450" s="41">
        <f>(B450/B449)-1</f>
        <v/>
      </c>
      <c r="E450" s="42">
        <f>C450^2</f>
        <v/>
      </c>
      <c r="F450" s="22" t="inlineStr"/>
    </row>
    <row r="451" ht="16" customHeight="1">
      <c r="A451" s="35" t="n">
        <v>45190</v>
      </c>
      <c r="B451" s="36" t="n">
        <v>162462.43</v>
      </c>
      <c r="C451" s="43">
        <f>LN(B451/B450)</f>
        <v/>
      </c>
      <c r="D451" s="44">
        <f>(B451/B450)-1</f>
        <v/>
      </c>
      <c r="E451" s="45">
        <f>C451^2</f>
        <v/>
      </c>
      <c r="F451" s="26" t="inlineStr"/>
    </row>
    <row r="452" ht="16" customHeight="1">
      <c r="A452" s="38" t="n">
        <v>45191</v>
      </c>
      <c r="B452" s="39" t="n">
        <v>166318.23</v>
      </c>
      <c r="C452" s="40">
        <f>LN(B452/B451)</f>
        <v/>
      </c>
      <c r="D452" s="41">
        <f>(B452/B451)-1</f>
        <v/>
      </c>
      <c r="E452" s="42">
        <f>C452^2</f>
        <v/>
      </c>
      <c r="F452" s="22" t="inlineStr"/>
    </row>
    <row r="453" ht="16" customHeight="1">
      <c r="A453" s="35" t="n">
        <v>45194</v>
      </c>
      <c r="B453" s="36" t="n">
        <v>162923.11</v>
      </c>
      <c r="C453" s="43">
        <f>LN(B453/B452)</f>
        <v/>
      </c>
      <c r="D453" s="44">
        <f>(B453/B452)-1</f>
        <v/>
      </c>
      <c r="E453" s="45">
        <f>C453^2</f>
        <v/>
      </c>
      <c r="F453" s="26" t="inlineStr"/>
    </row>
    <row r="454" ht="16" customHeight="1">
      <c r="A454" s="38" t="n">
        <v>45195</v>
      </c>
      <c r="B454" s="39" t="n">
        <v>163900.18</v>
      </c>
      <c r="C454" s="40">
        <f>LN(B454/B453)</f>
        <v/>
      </c>
      <c r="D454" s="41">
        <f>(B454/B453)-1</f>
        <v/>
      </c>
      <c r="E454" s="42">
        <f>C454^2</f>
        <v/>
      </c>
      <c r="F454" s="22" t="inlineStr"/>
    </row>
    <row r="455" ht="16" customHeight="1">
      <c r="A455" s="35" t="n">
        <v>45196</v>
      </c>
      <c r="B455" s="36" t="n">
        <v>161056.88</v>
      </c>
      <c r="C455" s="43">
        <f>LN(B455/B454)</f>
        <v/>
      </c>
      <c r="D455" s="44">
        <f>(B455/B454)-1</f>
        <v/>
      </c>
      <c r="E455" s="45">
        <f>C455^2</f>
        <v/>
      </c>
      <c r="F455" s="26" t="inlineStr"/>
    </row>
    <row r="456" ht="16" customHeight="1">
      <c r="A456" s="38" t="n">
        <v>45197</v>
      </c>
      <c r="B456" s="39" t="n">
        <v>156167.44</v>
      </c>
      <c r="C456" s="40">
        <f>LN(B456/B455)</f>
        <v/>
      </c>
      <c r="D456" s="41">
        <f>(B456/B455)-1</f>
        <v/>
      </c>
      <c r="E456" s="42">
        <f>C456^2</f>
        <v/>
      </c>
      <c r="F456" s="22" t="inlineStr"/>
    </row>
    <row r="457" ht="16" customHeight="1">
      <c r="A457" s="35" t="n">
        <v>45198</v>
      </c>
      <c r="B457" s="36" t="n">
        <v>152448.8</v>
      </c>
      <c r="C457" s="43">
        <f>LN(B457/B456)</f>
        <v/>
      </c>
      <c r="D457" s="44">
        <f>(B457/B456)-1</f>
        <v/>
      </c>
      <c r="E457" s="45">
        <f>C457^2</f>
        <v/>
      </c>
      <c r="F457" s="26" t="inlineStr"/>
    </row>
    <row r="458" ht="16" customHeight="1">
      <c r="A458" s="38" t="n">
        <v>45201</v>
      </c>
      <c r="B458" s="39" t="n">
        <v>149964.35</v>
      </c>
      <c r="C458" s="40">
        <f>LN(B458/B457)</f>
        <v/>
      </c>
      <c r="D458" s="41">
        <f>(B458/B457)-1</f>
        <v/>
      </c>
      <c r="E458" s="42">
        <f>C458^2</f>
        <v/>
      </c>
      <c r="F458" s="22" t="inlineStr"/>
    </row>
    <row r="459" ht="16" customHeight="1">
      <c r="A459" s="35" t="n">
        <v>45202</v>
      </c>
      <c r="B459" s="36" t="n">
        <v>151923.32</v>
      </c>
      <c r="C459" s="43">
        <f>LN(B459/B458)</f>
        <v/>
      </c>
      <c r="D459" s="44">
        <f>(B459/B458)-1</f>
        <v/>
      </c>
      <c r="E459" s="45">
        <f>C459^2</f>
        <v/>
      </c>
      <c r="F459" s="26" t="inlineStr"/>
    </row>
    <row r="460" ht="16" customHeight="1">
      <c r="A460" s="38" t="n">
        <v>45203</v>
      </c>
      <c r="B460" s="39" t="n">
        <v>150371</v>
      </c>
      <c r="C460" s="40">
        <f>LN(B460/B459)</f>
        <v/>
      </c>
      <c r="D460" s="41">
        <f>(B460/B459)-1</f>
        <v/>
      </c>
      <c r="E460" s="42">
        <f>C460^2</f>
        <v/>
      </c>
      <c r="F460" s="22" t="inlineStr"/>
    </row>
    <row r="461" ht="16" customHeight="1">
      <c r="A461" s="35" t="n">
        <v>45204</v>
      </c>
      <c r="B461" s="36" t="n">
        <v>149983.62</v>
      </c>
      <c r="C461" s="43">
        <f>LN(B461/B460)</f>
        <v/>
      </c>
      <c r="D461" s="44">
        <f>(B461/B460)-1</f>
        <v/>
      </c>
      <c r="E461" s="45">
        <f>C461^2</f>
        <v/>
      </c>
      <c r="F461" s="26" t="inlineStr"/>
    </row>
    <row r="462" ht="16" customHeight="1">
      <c r="A462" s="38" t="n">
        <v>45205</v>
      </c>
      <c r="B462" s="39" t="n">
        <v>147926.26</v>
      </c>
      <c r="C462" s="40">
        <f>LN(B462/B461)</f>
        <v/>
      </c>
      <c r="D462" s="41">
        <f>(B462/B461)-1</f>
        <v/>
      </c>
      <c r="E462" s="42">
        <f>C462^2</f>
        <v/>
      </c>
      <c r="F462" s="22" t="inlineStr"/>
    </row>
    <row r="463" ht="16" customHeight="1">
      <c r="A463" s="35" t="n">
        <v>45208</v>
      </c>
      <c r="B463" s="36" t="n">
        <v>143698</v>
      </c>
      <c r="C463" s="43">
        <f>LN(B463/B462)</f>
        <v/>
      </c>
      <c r="D463" s="44">
        <f>(B463/B462)-1</f>
        <v/>
      </c>
      <c r="E463" s="45">
        <f>C463^2</f>
        <v/>
      </c>
      <c r="F463" s="26" t="inlineStr"/>
    </row>
    <row r="464" ht="16" customHeight="1">
      <c r="A464" s="38" t="n">
        <v>45209</v>
      </c>
      <c r="B464" s="39" t="n">
        <v>144777.09</v>
      </c>
      <c r="C464" s="40">
        <f>LN(B464/B463)</f>
        <v/>
      </c>
      <c r="D464" s="41">
        <f>(B464/B463)-1</f>
        <v/>
      </c>
      <c r="E464" s="42">
        <f>C464^2</f>
        <v/>
      </c>
      <c r="F464" s="22" t="inlineStr"/>
    </row>
    <row r="465" ht="16" customHeight="1">
      <c r="A465" s="35" t="n">
        <v>45210</v>
      </c>
      <c r="B465" s="36" t="n">
        <v>142896.66</v>
      </c>
      <c r="C465" s="43">
        <f>LN(B465/B464)</f>
        <v/>
      </c>
      <c r="D465" s="44">
        <f>(B465/B464)-1</f>
        <v/>
      </c>
      <c r="E465" s="45">
        <f>C465^2</f>
        <v/>
      </c>
      <c r="F465" s="26" t="inlineStr"/>
    </row>
    <row r="466" ht="16" customHeight="1">
      <c r="A466" s="38" t="n">
        <v>45211</v>
      </c>
      <c r="B466" s="39" t="n">
        <v>145195.85</v>
      </c>
      <c r="C466" s="40">
        <f>LN(B466/B465)</f>
        <v/>
      </c>
      <c r="D466" s="41">
        <f>(B466/B465)-1</f>
        <v/>
      </c>
      <c r="E466" s="42">
        <f>C466^2</f>
        <v/>
      </c>
      <c r="F466" s="22" t="inlineStr"/>
    </row>
    <row r="467" ht="16" customHeight="1">
      <c r="A467" s="35" t="n">
        <v>45212</v>
      </c>
      <c r="B467" s="36" t="n">
        <v>143497.31</v>
      </c>
      <c r="C467" s="43">
        <f>LN(B467/B466)</f>
        <v/>
      </c>
      <c r="D467" s="44">
        <f>(B467/B466)-1</f>
        <v/>
      </c>
      <c r="E467" s="45">
        <f>C467^2</f>
        <v/>
      </c>
      <c r="F467" s="26" t="inlineStr"/>
    </row>
    <row r="468" ht="16" customHeight="1">
      <c r="A468" s="38" t="n">
        <v>45215</v>
      </c>
      <c r="B468" s="39" t="n">
        <v>142207.66</v>
      </c>
      <c r="C468" s="40">
        <f>LN(B468/B467)</f>
        <v/>
      </c>
      <c r="D468" s="41">
        <f>(B468/B467)-1</f>
        <v/>
      </c>
      <c r="E468" s="42">
        <f>C468^2</f>
        <v/>
      </c>
      <c r="F468" s="22" t="inlineStr"/>
    </row>
    <row r="469" ht="16" customHeight="1">
      <c r="A469" s="35" t="n">
        <v>45216</v>
      </c>
      <c r="B469" s="36" t="n">
        <v>142438.64</v>
      </c>
      <c r="C469" s="43">
        <f>LN(B469/B468)</f>
        <v/>
      </c>
      <c r="D469" s="44">
        <f>(B469/B468)-1</f>
        <v/>
      </c>
      <c r="E469" s="45">
        <f>C469^2</f>
        <v/>
      </c>
      <c r="F469" s="26" t="inlineStr"/>
    </row>
    <row r="470" ht="16" customHeight="1">
      <c r="A470" s="38" t="n">
        <v>45217</v>
      </c>
      <c r="B470" s="39" t="n">
        <v>142502.26</v>
      </c>
      <c r="C470" s="40">
        <f>LN(B470/B469)</f>
        <v/>
      </c>
      <c r="D470" s="41">
        <f>(B470/B469)-1</f>
        <v/>
      </c>
      <c r="E470" s="42">
        <f>C470^2</f>
        <v/>
      </c>
      <c r="F470" s="22" t="inlineStr"/>
    </row>
    <row r="471" ht="16" customHeight="1">
      <c r="A471" s="35" t="n">
        <v>45218</v>
      </c>
      <c r="B471" s="36" t="n">
        <v>144981.21</v>
      </c>
      <c r="C471" s="43">
        <f>LN(B471/B470)</f>
        <v/>
      </c>
      <c r="D471" s="44">
        <f>(B471/B470)-1</f>
        <v/>
      </c>
      <c r="E471" s="45">
        <f>C471^2</f>
        <v/>
      </c>
      <c r="F471" s="26" t="inlineStr"/>
    </row>
    <row r="472" ht="16" customHeight="1">
      <c r="A472" s="38" t="n">
        <v>45219</v>
      </c>
      <c r="B472" s="39" t="n">
        <v>145212.62</v>
      </c>
      <c r="C472" s="40">
        <f>LN(B472/B471)</f>
        <v/>
      </c>
      <c r="D472" s="41">
        <f>(B472/B471)-1</f>
        <v/>
      </c>
      <c r="E472" s="42">
        <f>C472^2</f>
        <v/>
      </c>
      <c r="F472" s="22" t="inlineStr"/>
    </row>
    <row r="473" ht="16" customHeight="1">
      <c r="A473" s="35" t="n">
        <v>45222</v>
      </c>
      <c r="B473" s="36" t="n">
        <v>143144.56</v>
      </c>
      <c r="C473" s="43">
        <f>LN(B473/B472)</f>
        <v/>
      </c>
      <c r="D473" s="44">
        <f>(B473/B472)-1</f>
        <v/>
      </c>
      <c r="E473" s="45">
        <f>C473^2</f>
        <v/>
      </c>
      <c r="F473" s="26" t="inlineStr"/>
    </row>
    <row r="474" ht="16" customHeight="1">
      <c r="A474" s="38" t="n">
        <v>45223</v>
      </c>
      <c r="B474" s="39" t="n">
        <v>142206.61</v>
      </c>
      <c r="C474" s="40">
        <f>LN(B474/B473)</f>
        <v/>
      </c>
      <c r="D474" s="41">
        <f>(B474/B473)-1</f>
        <v/>
      </c>
      <c r="E474" s="42">
        <f>C474^2</f>
        <v/>
      </c>
      <c r="F474" s="22" t="inlineStr"/>
    </row>
    <row r="475" ht="16" customHeight="1">
      <c r="A475" s="35" t="n">
        <v>45224</v>
      </c>
      <c r="B475" s="36" t="n">
        <v>141253.7</v>
      </c>
      <c r="C475" s="43">
        <f>LN(B475/B474)</f>
        <v/>
      </c>
      <c r="D475" s="44">
        <f>(B475/B474)-1</f>
        <v/>
      </c>
      <c r="E475" s="45">
        <f>C475^2</f>
        <v/>
      </c>
      <c r="F475" s="26" t="inlineStr"/>
    </row>
    <row r="476" ht="16" customHeight="1">
      <c r="A476" s="38" t="n">
        <v>45225</v>
      </c>
      <c r="B476" s="39" t="n">
        <v>142509.42</v>
      </c>
      <c r="C476" s="40">
        <f>LN(B476/B475)</f>
        <v/>
      </c>
      <c r="D476" s="41">
        <f>(B476/B475)-1</f>
        <v/>
      </c>
      <c r="E476" s="42">
        <f>C476^2</f>
        <v/>
      </c>
      <c r="F476" s="22" t="inlineStr"/>
    </row>
    <row r="477" ht="16" customHeight="1">
      <c r="A477" s="35" t="n">
        <v>45226</v>
      </c>
      <c r="B477" s="36" t="n">
        <v>143188.74</v>
      </c>
      <c r="C477" s="43">
        <f>LN(B477/B476)</f>
        <v/>
      </c>
      <c r="D477" s="44">
        <f>(B477/B476)-1</f>
        <v/>
      </c>
      <c r="E477" s="45">
        <f>C477^2</f>
        <v/>
      </c>
      <c r="F477" s="26" t="inlineStr"/>
    </row>
    <row r="478" ht="16" customHeight="1">
      <c r="A478" s="38" t="n">
        <v>45229</v>
      </c>
      <c r="B478" s="39" t="n">
        <v>143005.19</v>
      </c>
      <c r="C478" s="40">
        <f>LN(B478/B477)</f>
        <v/>
      </c>
      <c r="D478" s="41">
        <f>(B478/B477)-1</f>
        <v/>
      </c>
      <c r="E478" s="42">
        <f>C478^2</f>
        <v/>
      </c>
      <c r="F478" s="22" t="inlineStr"/>
    </row>
    <row r="479" ht="16" customHeight="1">
      <c r="A479" s="35" t="n">
        <v>45230</v>
      </c>
      <c r="B479" s="36" t="n">
        <v>144526.98</v>
      </c>
      <c r="C479" s="43">
        <f>LN(B479/B478)</f>
        <v/>
      </c>
      <c r="D479" s="44">
        <f>(B479/B478)-1</f>
        <v/>
      </c>
      <c r="E479" s="45">
        <f>C479^2</f>
        <v/>
      </c>
      <c r="F479" s="26" t="inlineStr"/>
    </row>
    <row r="480" ht="16" customHeight="1">
      <c r="A480" s="38" t="n">
        <v>45231</v>
      </c>
      <c r="B480" s="39" t="n">
        <v>143634.84</v>
      </c>
      <c r="C480" s="40">
        <f>LN(B480/B479)</f>
        <v/>
      </c>
      <c r="D480" s="41">
        <f>(B480/B479)-1</f>
        <v/>
      </c>
      <c r="E480" s="42">
        <f>C480^2</f>
        <v/>
      </c>
      <c r="F480" s="22" t="inlineStr"/>
    </row>
    <row r="481" ht="16" customHeight="1">
      <c r="A481" s="35" t="n">
        <v>45232</v>
      </c>
      <c r="B481" s="36" t="n">
        <v>143421.73</v>
      </c>
      <c r="C481" s="43">
        <f>LN(B481/B480)</f>
        <v/>
      </c>
      <c r="D481" s="44">
        <f>(B481/B480)-1</f>
        <v/>
      </c>
      <c r="E481" s="45">
        <f>C481^2</f>
        <v/>
      </c>
      <c r="F481" s="26" t="inlineStr"/>
    </row>
    <row r="482" ht="16" customHeight="1">
      <c r="A482" s="38" t="n">
        <v>45233</v>
      </c>
      <c r="B482" s="39" t="n">
        <v>143754.73</v>
      </c>
      <c r="C482" s="40">
        <f>LN(B482/B481)</f>
        <v/>
      </c>
      <c r="D482" s="41">
        <f>(B482/B481)-1</f>
        <v/>
      </c>
      <c r="E482" s="42">
        <f>C482^2</f>
        <v/>
      </c>
      <c r="F482" s="22" t="inlineStr"/>
    </row>
    <row r="483" ht="16" customHeight="1">
      <c r="A483" s="35" t="n">
        <v>45236</v>
      </c>
      <c r="B483" s="36" t="n">
        <v>146437.21</v>
      </c>
      <c r="C483" s="43">
        <f>LN(B483/B482)</f>
        <v/>
      </c>
      <c r="D483" s="44">
        <f>(B483/B482)-1</f>
        <v/>
      </c>
      <c r="E483" s="45">
        <f>C483^2</f>
        <v/>
      </c>
      <c r="F483" s="26" t="inlineStr"/>
    </row>
    <row r="484" ht="16" customHeight="1">
      <c r="A484" s="38" t="n">
        <v>45237</v>
      </c>
      <c r="B484" s="39" t="n">
        <v>146286.11</v>
      </c>
      <c r="C484" s="40">
        <f>LN(B484/B483)</f>
        <v/>
      </c>
      <c r="D484" s="41">
        <f>(B484/B483)-1</f>
        <v/>
      </c>
      <c r="E484" s="42">
        <f>C484^2</f>
        <v/>
      </c>
      <c r="F484" s="22" t="inlineStr"/>
    </row>
    <row r="485" ht="16" customHeight="1">
      <c r="A485" s="35" t="n">
        <v>45238</v>
      </c>
      <c r="B485" s="36" t="n">
        <v>145693.45</v>
      </c>
      <c r="C485" s="43">
        <f>LN(B485/B484)</f>
        <v/>
      </c>
      <c r="D485" s="44">
        <f>(B485/B484)-1</f>
        <v/>
      </c>
      <c r="E485" s="45">
        <f>C485^2</f>
        <v/>
      </c>
      <c r="F485" s="26" t="inlineStr"/>
    </row>
    <row r="486" ht="16" customHeight="1">
      <c r="A486" s="38" t="n">
        <v>45239</v>
      </c>
      <c r="B486" s="39" t="n">
        <v>143898</v>
      </c>
      <c r="C486" s="40">
        <f>LN(B486/B485)</f>
        <v/>
      </c>
      <c r="D486" s="41">
        <f>(B486/B485)-1</f>
        <v/>
      </c>
      <c r="E486" s="42">
        <f>C486^2</f>
        <v/>
      </c>
      <c r="F486" s="22" t="inlineStr"/>
    </row>
    <row r="487" ht="16" customHeight="1">
      <c r="A487" s="35" t="n">
        <v>45240</v>
      </c>
      <c r="B487" s="36" t="n">
        <v>145109.31</v>
      </c>
      <c r="C487" s="43">
        <f>LN(B487/B486)</f>
        <v/>
      </c>
      <c r="D487" s="44">
        <f>(B487/B486)-1</f>
        <v/>
      </c>
      <c r="E487" s="45">
        <f>C487^2</f>
        <v/>
      </c>
      <c r="F487" s="26" t="inlineStr"/>
    </row>
    <row r="488" ht="16" customHeight="1">
      <c r="A488" s="38" t="n">
        <v>45243</v>
      </c>
      <c r="B488" s="39" t="n">
        <v>144111.25</v>
      </c>
      <c r="C488" s="40">
        <f>LN(B488/B487)</f>
        <v/>
      </c>
      <c r="D488" s="41">
        <f>(B488/B487)-1</f>
        <v/>
      </c>
      <c r="E488" s="42">
        <f>C488^2</f>
        <v/>
      </c>
      <c r="F488" s="22" t="inlineStr"/>
    </row>
    <row r="489" ht="16" customHeight="1">
      <c r="A489" s="35" t="n">
        <v>45244</v>
      </c>
      <c r="B489" s="36" t="n">
        <v>144728.53</v>
      </c>
      <c r="C489" s="43">
        <f>LN(B489/B488)</f>
        <v/>
      </c>
      <c r="D489" s="44">
        <f>(B489/B488)-1</f>
        <v/>
      </c>
      <c r="E489" s="45">
        <f>C489^2</f>
        <v/>
      </c>
      <c r="F489" s="26" t="inlineStr"/>
    </row>
    <row r="490" ht="16" customHeight="1">
      <c r="A490" s="38" t="n">
        <v>45245</v>
      </c>
      <c r="B490" s="39" t="n">
        <v>141484.54</v>
      </c>
      <c r="C490" s="40">
        <f>LN(B490/B489)</f>
        <v/>
      </c>
      <c r="D490" s="41">
        <f>(B490/B489)-1</f>
        <v/>
      </c>
      <c r="E490" s="42">
        <f>C490^2</f>
        <v/>
      </c>
      <c r="F490" s="22" t="inlineStr"/>
    </row>
    <row r="491" ht="16" customHeight="1">
      <c r="A491" s="35" t="n">
        <v>45246</v>
      </c>
      <c r="B491" s="36" t="n">
        <v>143288.3</v>
      </c>
      <c r="C491" s="43">
        <f>LN(B491/B490)</f>
        <v/>
      </c>
      <c r="D491" s="44">
        <f>(B491/B490)-1</f>
        <v/>
      </c>
      <c r="E491" s="45">
        <f>C491^2</f>
        <v/>
      </c>
      <c r="F491" s="26" t="inlineStr"/>
    </row>
    <row r="492" ht="16" customHeight="1">
      <c r="A492" s="38" t="n">
        <v>45247</v>
      </c>
      <c r="B492" s="39" t="n">
        <v>141037.45</v>
      </c>
      <c r="C492" s="40">
        <f>LN(B492/B491)</f>
        <v/>
      </c>
      <c r="D492" s="41">
        <f>(B492/B491)-1</f>
        <v/>
      </c>
      <c r="E492" s="42">
        <f>C492^2</f>
        <v/>
      </c>
      <c r="F492" s="22" t="inlineStr"/>
    </row>
    <row r="493" ht="16" customHeight="1">
      <c r="A493" s="35" t="n">
        <v>45250</v>
      </c>
      <c r="B493" s="36" t="n">
        <v>145769.33</v>
      </c>
      <c r="C493" s="43">
        <f>LN(B493/B492)</f>
        <v/>
      </c>
      <c r="D493" s="44">
        <f>(B493/B492)-1</f>
        <v/>
      </c>
      <c r="E493" s="45">
        <f>C493^2</f>
        <v/>
      </c>
      <c r="F493" s="26" t="inlineStr"/>
    </row>
    <row r="494" ht="16" customHeight="1">
      <c r="A494" s="38" t="n">
        <v>45251</v>
      </c>
      <c r="B494" s="39" t="n">
        <v>144437.56</v>
      </c>
      <c r="C494" s="40">
        <f>LN(B494/B493)</f>
        <v/>
      </c>
      <c r="D494" s="41">
        <f>(B494/B493)-1</f>
        <v/>
      </c>
      <c r="E494" s="42">
        <f>C494^2</f>
        <v/>
      </c>
      <c r="F494" s="22" t="inlineStr"/>
    </row>
    <row r="495" ht="16" customHeight="1">
      <c r="A495" s="35" t="n">
        <v>45252</v>
      </c>
      <c r="B495" s="36" t="n">
        <v>146305.99</v>
      </c>
      <c r="C495" s="43">
        <f>LN(B495/B494)</f>
        <v/>
      </c>
      <c r="D495" s="44">
        <f>(B495/B494)-1</f>
        <v/>
      </c>
      <c r="E495" s="45">
        <f>C495^2</f>
        <v/>
      </c>
      <c r="F495" s="26" t="inlineStr"/>
    </row>
    <row r="496" ht="16" customHeight="1">
      <c r="A496" s="38" t="n">
        <v>45253</v>
      </c>
      <c r="B496" s="39" t="n">
        <v>144003.36</v>
      </c>
      <c r="C496" s="40">
        <f>LN(B496/B495)</f>
        <v/>
      </c>
      <c r="D496" s="41">
        <f>(B496/B495)-1</f>
        <v/>
      </c>
      <c r="E496" s="42">
        <f>C496^2</f>
        <v/>
      </c>
      <c r="F496" s="22" t="inlineStr"/>
    </row>
    <row r="497" ht="16" customHeight="1">
      <c r="A497" s="35" t="n">
        <v>45254</v>
      </c>
      <c r="B497" s="36" t="n">
        <v>143887.71</v>
      </c>
      <c r="C497" s="43">
        <f>LN(B497/B496)</f>
        <v/>
      </c>
      <c r="D497" s="44">
        <f>(B497/B496)-1</f>
        <v/>
      </c>
      <c r="E497" s="45">
        <f>C497^2</f>
        <v/>
      </c>
      <c r="F497" s="26" t="inlineStr"/>
    </row>
    <row r="498" ht="16" customHeight="1">
      <c r="A498" s="38" t="n">
        <v>45257</v>
      </c>
      <c r="B498" s="39" t="n">
        <v>144037.59</v>
      </c>
      <c r="C498" s="40">
        <f>LN(B498/B497)</f>
        <v/>
      </c>
      <c r="D498" s="41">
        <f>(B498/B497)-1</f>
        <v/>
      </c>
      <c r="E498" s="42">
        <f>C498^2</f>
        <v/>
      </c>
      <c r="F498" s="22" t="inlineStr"/>
    </row>
    <row r="499" ht="16" customHeight="1">
      <c r="A499" s="35" t="n">
        <v>45258</v>
      </c>
      <c r="B499" s="36" t="n">
        <v>142343.28</v>
      </c>
      <c r="C499" s="43">
        <f>LN(B499/B498)</f>
        <v/>
      </c>
      <c r="D499" s="44">
        <f>(B499/B498)-1</f>
        <v/>
      </c>
      <c r="E499" s="45">
        <f>C499^2</f>
        <v/>
      </c>
      <c r="F499" s="26" t="inlineStr"/>
    </row>
    <row r="500" ht="16" customHeight="1">
      <c r="A500" s="38" t="n">
        <v>45259</v>
      </c>
      <c r="B500" s="39" t="n">
        <v>144677.45</v>
      </c>
      <c r="C500" s="40">
        <f>LN(B500/B499)</f>
        <v/>
      </c>
      <c r="D500" s="41">
        <f>(B500/B499)-1</f>
        <v/>
      </c>
      <c r="E500" s="42">
        <f>C500^2</f>
        <v/>
      </c>
      <c r="F500" s="22" t="inlineStr"/>
    </row>
    <row r="501" ht="16" customHeight="1">
      <c r="A501" s="35" t="n">
        <v>45260</v>
      </c>
      <c r="B501" s="36" t="n">
        <v>147325.16</v>
      </c>
      <c r="C501" s="43">
        <f>LN(B501/B500)</f>
        <v/>
      </c>
      <c r="D501" s="44">
        <f>(B501/B500)-1</f>
        <v/>
      </c>
      <c r="E501" s="45">
        <f>C501^2</f>
        <v/>
      </c>
      <c r="F501" s="26" t="inlineStr"/>
    </row>
    <row r="502" ht="16" customHeight="1">
      <c r="A502" s="38" t="n">
        <v>45261</v>
      </c>
      <c r="B502" s="39" t="n">
        <v>143902.03</v>
      </c>
      <c r="C502" s="40">
        <f>LN(B502/B501)</f>
        <v/>
      </c>
      <c r="D502" s="41">
        <f>(B502/B501)-1</f>
        <v/>
      </c>
      <c r="E502" s="42">
        <f>C502^2</f>
        <v/>
      </c>
      <c r="F502" s="22" t="inlineStr"/>
    </row>
    <row r="503" ht="16" customHeight="1">
      <c r="A503" s="35" t="n">
        <v>45264</v>
      </c>
      <c r="B503" s="36" t="n">
        <v>141442.72</v>
      </c>
      <c r="C503" s="43">
        <f>LN(B503/B502)</f>
        <v/>
      </c>
      <c r="D503" s="44">
        <f>(B503/B502)-1</f>
        <v/>
      </c>
      <c r="E503" s="45">
        <f>C503^2</f>
        <v/>
      </c>
      <c r="F503" s="26" t="inlineStr"/>
    </row>
    <row r="504" ht="16" customHeight="1">
      <c r="A504" s="38" t="n">
        <v>45265</v>
      </c>
      <c r="B504" s="39" t="n">
        <v>142842.64</v>
      </c>
      <c r="C504" s="40">
        <f>LN(B504/B503)</f>
        <v/>
      </c>
      <c r="D504" s="41">
        <f>(B504/B503)-1</f>
        <v/>
      </c>
      <c r="E504" s="42">
        <f>C504^2</f>
        <v/>
      </c>
      <c r="F504" s="22" t="inlineStr"/>
    </row>
    <row r="505" ht="16" customHeight="1">
      <c r="A505" s="35" t="n">
        <v>45266</v>
      </c>
      <c r="B505" s="36" t="n">
        <v>140647.58</v>
      </c>
      <c r="C505" s="43">
        <f>LN(B505/B504)</f>
        <v/>
      </c>
      <c r="D505" s="44">
        <f>(B505/B504)-1</f>
        <v/>
      </c>
      <c r="E505" s="45">
        <f>C505^2</f>
        <v/>
      </c>
      <c r="F505" s="26" t="inlineStr"/>
    </row>
    <row r="506" ht="16" customHeight="1">
      <c r="A506" s="38" t="n">
        <v>45267</v>
      </c>
      <c r="B506" s="39" t="n">
        <v>140014.18</v>
      </c>
      <c r="C506" s="40">
        <f>LN(B506/B505)</f>
        <v/>
      </c>
      <c r="D506" s="41">
        <f>(B506/B505)-1</f>
        <v/>
      </c>
      <c r="E506" s="42">
        <f>C506^2</f>
        <v/>
      </c>
      <c r="F506" s="22" t="inlineStr"/>
    </row>
    <row r="507" ht="16" customHeight="1">
      <c r="A507" s="35" t="n">
        <v>45268</v>
      </c>
      <c r="B507" s="36" t="n">
        <v>140253.06</v>
      </c>
      <c r="C507" s="43">
        <f>LN(B507/B506)</f>
        <v/>
      </c>
      <c r="D507" s="44">
        <f>(B507/B506)-1</f>
        <v/>
      </c>
      <c r="E507" s="45">
        <f>C507^2</f>
        <v/>
      </c>
      <c r="F507" s="26" t="inlineStr"/>
    </row>
    <row r="508" ht="16" customHeight="1">
      <c r="A508" s="38" t="n">
        <v>45271</v>
      </c>
      <c r="B508" s="39" t="n">
        <v>141443.53</v>
      </c>
      <c r="C508" s="40">
        <f>LN(B508/B507)</f>
        <v/>
      </c>
      <c r="D508" s="41">
        <f>(B508/B507)-1</f>
        <v/>
      </c>
      <c r="E508" s="42">
        <f>C508^2</f>
        <v/>
      </c>
      <c r="F508" s="22" t="inlineStr"/>
    </row>
    <row r="509" ht="16" customHeight="1">
      <c r="A509" s="35" t="n">
        <v>45272</v>
      </c>
      <c r="B509" s="36" t="n">
        <v>141086.27</v>
      </c>
      <c r="C509" s="43">
        <f>LN(B509/B508)</f>
        <v/>
      </c>
      <c r="D509" s="44">
        <f>(B509/B508)-1</f>
        <v/>
      </c>
      <c r="E509" s="45">
        <f>C509^2</f>
        <v/>
      </c>
      <c r="F509" s="26" t="inlineStr"/>
    </row>
    <row r="510" ht="16" customHeight="1">
      <c r="A510" s="38" t="n">
        <v>45273</v>
      </c>
      <c r="B510" s="39" t="n">
        <v>141268.76</v>
      </c>
      <c r="C510" s="40">
        <f>LN(B510/B509)</f>
        <v/>
      </c>
      <c r="D510" s="41">
        <f>(B510/B509)-1</f>
        <v/>
      </c>
      <c r="E510" s="42">
        <f>C510^2</f>
        <v/>
      </c>
      <c r="F510" s="22" t="inlineStr"/>
    </row>
    <row r="511" ht="16" customHeight="1">
      <c r="A511" s="35" t="n">
        <v>45274</v>
      </c>
      <c r="B511" s="36" t="n">
        <v>139979.14</v>
      </c>
      <c r="C511" s="43">
        <f>LN(B511/B510)</f>
        <v/>
      </c>
      <c r="D511" s="44">
        <f>(B511/B510)-1</f>
        <v/>
      </c>
      <c r="E511" s="45">
        <f>C511^2</f>
        <v/>
      </c>
      <c r="F511" s="26" t="inlineStr"/>
    </row>
    <row r="512" ht="16" customHeight="1">
      <c r="A512" s="38" t="n">
        <v>45275</v>
      </c>
      <c r="B512" s="39" t="n">
        <v>142188.23</v>
      </c>
      <c r="C512" s="40">
        <f>LN(B512/B511)</f>
        <v/>
      </c>
      <c r="D512" s="41">
        <f>(B512/B511)-1</f>
        <v/>
      </c>
      <c r="E512" s="42">
        <f>C512^2</f>
        <v/>
      </c>
      <c r="F512" s="22" t="inlineStr"/>
    </row>
    <row r="513" ht="16" customHeight="1">
      <c r="A513" s="35" t="n">
        <v>45278</v>
      </c>
      <c r="B513" s="36" t="n">
        <v>141366.81</v>
      </c>
      <c r="C513" s="43">
        <f>LN(B513/B512)</f>
        <v/>
      </c>
      <c r="D513" s="44">
        <f>(B513/B512)-1</f>
        <v/>
      </c>
      <c r="E513" s="45">
        <f>C513^2</f>
        <v/>
      </c>
      <c r="F513" s="26" t="inlineStr"/>
    </row>
    <row r="514" ht="16" customHeight="1">
      <c r="A514" s="38" t="n">
        <v>45279</v>
      </c>
      <c r="B514" s="39" t="n">
        <v>141965.6</v>
      </c>
      <c r="C514" s="40">
        <f>LN(B514/B513)</f>
        <v/>
      </c>
      <c r="D514" s="41">
        <f>(B514/B513)-1</f>
        <v/>
      </c>
      <c r="E514" s="42">
        <f>C514^2</f>
        <v/>
      </c>
      <c r="F514" s="22" t="inlineStr"/>
    </row>
    <row r="515" ht="16" customHeight="1">
      <c r="A515" s="35" t="n">
        <v>45280</v>
      </c>
      <c r="B515" s="36" t="n">
        <v>141117.82</v>
      </c>
      <c r="C515" s="43">
        <f>LN(B515/B514)</f>
        <v/>
      </c>
      <c r="D515" s="44">
        <f>(B515/B514)-1</f>
        <v/>
      </c>
      <c r="E515" s="45">
        <f>C515^2</f>
        <v/>
      </c>
      <c r="F515" s="26" t="inlineStr"/>
    </row>
    <row r="516" ht="16" customHeight="1">
      <c r="A516" s="38" t="n">
        <v>45281</v>
      </c>
      <c r="B516" s="39" t="n">
        <v>141319.18</v>
      </c>
      <c r="C516" s="40">
        <f>LN(B516/B515)</f>
        <v/>
      </c>
      <c r="D516" s="41">
        <f>(B516/B515)-1</f>
        <v/>
      </c>
      <c r="E516" s="42">
        <f>C516^2</f>
        <v/>
      </c>
      <c r="F516" s="22" t="inlineStr"/>
    </row>
    <row r="517" ht="16" customHeight="1">
      <c r="A517" s="35" t="n">
        <v>45282</v>
      </c>
      <c r="B517" s="36" t="n">
        <v>141055.45</v>
      </c>
      <c r="C517" s="43">
        <f>LN(B517/B516)</f>
        <v/>
      </c>
      <c r="D517" s="44">
        <f>(B517/B516)-1</f>
        <v/>
      </c>
      <c r="E517" s="45">
        <f>C517^2</f>
        <v/>
      </c>
      <c r="F517" s="26" t="inlineStr"/>
    </row>
    <row r="518" ht="16" customHeight="1">
      <c r="A518" s="38" t="n">
        <v>45285</v>
      </c>
      <c r="B518" s="39" t="n">
        <v>140801.84</v>
      </c>
      <c r="C518" s="40">
        <f>LN(B518/B517)</f>
        <v/>
      </c>
      <c r="D518" s="41">
        <f>(B518/B517)-1</f>
        <v/>
      </c>
      <c r="E518" s="42">
        <f>C518^2</f>
        <v/>
      </c>
      <c r="F518" s="22" t="inlineStr"/>
    </row>
    <row r="519" ht="16" customHeight="1">
      <c r="A519" s="35" t="n">
        <v>45286</v>
      </c>
      <c r="B519" s="36" t="n">
        <v>139120.18</v>
      </c>
      <c r="C519" s="43">
        <f>LN(B519/B518)</f>
        <v/>
      </c>
      <c r="D519" s="44">
        <f>(B519/B518)-1</f>
        <v/>
      </c>
      <c r="E519" s="45">
        <f>C519^2</f>
        <v/>
      </c>
      <c r="F519" s="26" t="inlineStr"/>
    </row>
    <row r="520" ht="16" customHeight="1">
      <c r="A520" s="38" t="n">
        <v>45287</v>
      </c>
      <c r="B520" s="39" t="n">
        <v>140477.19</v>
      </c>
      <c r="C520" s="40">
        <f>LN(B520/B519)</f>
        <v/>
      </c>
      <c r="D520" s="41">
        <f>(B520/B519)-1</f>
        <v/>
      </c>
      <c r="E520" s="42">
        <f>C520^2</f>
        <v/>
      </c>
      <c r="F520" s="22" t="inlineStr"/>
    </row>
    <row r="521" ht="16" customHeight="1">
      <c r="A521" s="35" t="n">
        <v>45288</v>
      </c>
      <c r="B521" s="36" t="n">
        <v>142902.65</v>
      </c>
      <c r="C521" s="43">
        <f>LN(B521/B520)</f>
        <v/>
      </c>
      <c r="D521" s="44">
        <f>(B521/B520)-1</f>
        <v/>
      </c>
      <c r="E521" s="45">
        <f>C521^2</f>
        <v/>
      </c>
      <c r="F521" s="26" t="inlineStr"/>
    </row>
    <row r="522" ht="16" customHeight="1">
      <c r="A522" s="38" t="n">
        <v>45289</v>
      </c>
      <c r="B522" s="39" t="n">
        <v>143341.72</v>
      </c>
      <c r="C522" s="40">
        <f>LN(B522/B521)</f>
        <v/>
      </c>
      <c r="D522" s="41">
        <f>(B522/B521)-1</f>
        <v/>
      </c>
      <c r="E522" s="42">
        <f>C522^2</f>
        <v/>
      </c>
      <c r="F522" s="22" t="inlineStr"/>
    </row>
    <row r="524">
      <c r="A524" s="46" t="inlineStr">
        <is>
          <t>ESTATÍSTICAS DESCRITIVAS (retornos log)</t>
        </is>
      </c>
    </row>
    <row r="525">
      <c r="A525" s="24" t="inlineStr">
        <is>
          <t>Nº de observações</t>
        </is>
      </c>
      <c r="B525" s="47">
        <f>COUNTA(C4:C522)-COUNTIF(C4:C522,"—")</f>
        <v/>
      </c>
    </row>
    <row r="526">
      <c r="A526" s="20" t="inlineStr">
        <is>
          <t>Média dos retornos</t>
        </is>
      </c>
      <c r="B526" s="40">
        <f>AVERAGE(C4:C522)</f>
        <v/>
      </c>
    </row>
    <row r="527">
      <c r="A527" s="24" t="inlineStr">
        <is>
          <t>Desvio Padrão</t>
        </is>
      </c>
      <c r="B527" s="43">
        <f>STDEV(C4:C522)</f>
        <v/>
      </c>
    </row>
    <row r="528">
      <c r="A528" s="20" t="inlineStr">
        <is>
          <t>Retorno Mínimo</t>
        </is>
      </c>
      <c r="B528" s="41">
        <f>MIN(C4:C522)</f>
        <v/>
      </c>
    </row>
    <row r="529">
      <c r="A529" s="24" t="inlineStr">
        <is>
          <t>Retorno Máximo</t>
        </is>
      </c>
      <c r="B529" s="44">
        <f>MAX(C4:C522)</f>
        <v/>
      </c>
    </row>
    <row r="530">
      <c r="A530" s="20" t="inlineStr">
        <is>
          <t>Volatilidade Anualizada</t>
        </is>
      </c>
      <c r="B530" s="41">
        <f>STDEV(C4:C522)*SQRT(252)</f>
        <v/>
      </c>
    </row>
    <row r="531">
      <c r="A531" s="24" t="inlineStr">
        <is>
          <t>Ibovespa Inicial</t>
        </is>
      </c>
      <c r="B531" s="48">
        <f>B3</f>
        <v/>
      </c>
    </row>
    <row r="532">
      <c r="A532" s="20" t="inlineStr">
        <is>
          <t>Ibovespa Final</t>
        </is>
      </c>
      <c r="B532" s="49">
        <f>B522</f>
        <v/>
      </c>
    </row>
    <row r="533">
      <c r="A533" s="24" t="inlineStr">
        <is>
          <t>Retorno Total Período</t>
        </is>
      </c>
      <c r="B533" s="44">
        <f>B522/B3-1</f>
        <v/>
      </c>
    </row>
  </sheetData>
  <mergeCells count="2">
    <mergeCell ref="A1:F1"/>
    <mergeCell ref="A524:F5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18" customWidth="1" min="7" max="7"/>
  </cols>
  <sheetData>
    <row r="1" ht="40" customHeight="1">
      <c r="A1" s="17" t="inlineStr">
        <is>
          <t>VaR – MÉTODO DE SIMULAÇÃO HISTÓRICA</t>
        </is>
      </c>
    </row>
    <row r="2">
      <c r="A2" s="50" t="inlineStr">
        <is>
          <t>Metodologia: Utiliza os retornos logarítmicos históricos observados, ordenados do menor ao maior. O VaR é estimado como o percentil correspondente ao nível de confiança (ex.: 1% dos piores retornos para VaR 99%). Não assume distribuição paramétrica dos retornos. | Fonte: RETORNOS_HIST</t>
        </is>
      </c>
    </row>
    <row r="3"/>
    <row r="5" ht="22" customHeight="1">
      <c r="A5" s="19" t="inlineStr">
        <is>
          <t>PARÂMETROS UTILIZADOS</t>
        </is>
      </c>
    </row>
    <row r="6" ht="18" customHeight="1">
      <c r="A6" s="20" t="inlineStr">
        <is>
          <t>Nível de Confiança 99%</t>
        </is>
      </c>
      <c r="B6" s="51">
        <f>PARÂMETROS!B4</f>
        <v/>
      </c>
    </row>
    <row r="7" ht="18" customHeight="1">
      <c r="A7" s="24" t="inlineStr">
        <is>
          <t>Nível de Confiança 95%</t>
        </is>
      </c>
      <c r="B7" s="52">
        <f>PARÂMETROS!B5</f>
        <v/>
      </c>
    </row>
    <row r="8" ht="18" customHeight="1">
      <c r="A8" s="20" t="inlineStr">
        <is>
          <t>Janela Histórica (dias)</t>
        </is>
      </c>
      <c r="B8" s="53">
        <f>PARÂMETROS!B12</f>
        <v/>
      </c>
    </row>
    <row r="9" ht="18" customHeight="1">
      <c r="A9" s="24" t="inlineStr">
        <is>
          <t>Nocional (R$)</t>
        </is>
      </c>
      <c r="B9" s="54">
        <f>PARÂMETROS!B24</f>
        <v/>
      </c>
    </row>
    <row r="10" ht="18" customHeight="1">
      <c r="A10" s="20" t="inlineStr">
        <is>
          <t>Horizonte 1d</t>
        </is>
      </c>
      <c r="B10" s="53">
        <f>PARÂMETROS!B8</f>
        <v/>
      </c>
    </row>
    <row r="11" ht="18" customHeight="1">
      <c r="A11" s="24" t="inlineStr">
        <is>
          <t>Horizonte 10d (escalonado)</t>
        </is>
      </c>
      <c r="B11" s="55">
        <f>PARÂMETROS!B9</f>
        <v/>
      </c>
    </row>
    <row r="13" ht="22" customHeight="1">
      <c r="A13" s="19" t="inlineStr">
        <is>
          <t>RESULTADOS – VaR HISTÓRICO</t>
        </is>
      </c>
    </row>
    <row r="14" ht="22" customHeight="1">
      <c r="A14" s="18" t="inlineStr">
        <is>
          <t>MÉTRICA</t>
        </is>
      </c>
      <c r="B14" s="18" t="inlineStr">
        <is>
          <t>NÍVEL CONF.</t>
        </is>
      </c>
      <c r="C14" s="18" t="inlineStr">
        <is>
          <t>HORIZONTE</t>
        </is>
      </c>
      <c r="D14" s="18" t="inlineStr">
        <is>
          <t>VaR (%)</t>
        </is>
      </c>
      <c r="E14" s="18" t="inlineStr">
        <is>
          <t>VaR (R$)</t>
        </is>
      </c>
      <c r="F14" s="18" t="inlineStr">
        <is>
          <t>ES/CVaR (%)</t>
        </is>
      </c>
      <c r="G14" s="18" t="inlineStr">
        <is>
          <t>ES/CVaR (R$)</t>
        </is>
      </c>
    </row>
    <row r="15" ht="20" customHeight="1">
      <c r="A15" s="24" t="inlineStr">
        <is>
          <t>VaR Histórico</t>
        </is>
      </c>
      <c r="B15" s="56" t="inlineStr">
        <is>
          <t>99%</t>
        </is>
      </c>
      <c r="C15" s="56" t="inlineStr">
        <is>
          <t>1 dia</t>
        </is>
      </c>
      <c r="D15" s="44">
        <f>ABS(PERCENTILE(RETORNOS_HIST!C4:C522,1-PARÂMETROS!B4))</f>
        <v/>
      </c>
      <c r="E15" s="57">
        <f>D15*PARÂMETROS!B24</f>
        <v/>
      </c>
      <c r="F15" s="44">
        <f>AVERAGEIF(RETORNOS_HIST!C4:C522,"&lt;"&amp;PERCENTILE(RETORNOS_HIST!C4:C522,1-PARÂMETROS!B4))*-1</f>
        <v/>
      </c>
      <c r="G15" s="57">
        <f>F15*PARÂMETROS!B24</f>
        <v/>
      </c>
    </row>
    <row r="16" ht="20" customHeight="1">
      <c r="A16" s="20" t="inlineStr">
        <is>
          <t>VaR Histórico</t>
        </is>
      </c>
      <c r="B16" s="58" t="inlineStr">
        <is>
          <t>95%</t>
        </is>
      </c>
      <c r="C16" s="58" t="inlineStr">
        <is>
          <t>1 dia</t>
        </is>
      </c>
      <c r="D16" s="41">
        <f>ABS(PERCENTILE(RETORNOS_HIST!C4:C522,1-PARÂMETROS!B5))</f>
        <v/>
      </c>
      <c r="E16" s="59">
        <f>D16*PARÂMETROS!B24</f>
        <v/>
      </c>
      <c r="F16" s="41">
        <f>AVERAGEIF(RETORNOS_HIST!C4:C522,"&lt;"&amp;PERCENTILE(RETORNOS_HIST!C4:C522,1-PARÂMETROS!B5))*-1</f>
        <v/>
      </c>
      <c r="G16" s="59">
        <f>F16*PARÂMETROS!B24</f>
        <v/>
      </c>
    </row>
    <row r="17" ht="20" customHeight="1">
      <c r="A17" s="24" t="inlineStr">
        <is>
          <t>VaR Hist. √10</t>
        </is>
      </c>
      <c r="B17" s="56" t="inlineStr">
        <is>
          <t>99%</t>
        </is>
      </c>
      <c r="C17" s="56" t="inlineStr">
        <is>
          <t>10 dias</t>
        </is>
      </c>
      <c r="D17" s="44">
        <f>ABS(PERCENTILE(RETORNOS_HIST!C4:C522,1-PARÂMETROS!B4))*SQRT(PARÂMETROS!B9)</f>
        <v/>
      </c>
      <c r="E17" s="57">
        <f>D17*PARÂMETROS!B24</f>
        <v/>
      </c>
      <c r="F17" s="44">
        <f>AVERAGEIF(RETORNOS_HIST!C4:C522,"&lt;"&amp;PERCENTILE(RETORNOS_HIST!C4:C522,1-PARÂMETROS!B4))*-1*SQRT(PARÂMETROS!B9)</f>
        <v/>
      </c>
      <c r="G17" s="57">
        <f>F17*PARÂMETROS!B24</f>
        <v/>
      </c>
    </row>
    <row r="18" ht="20" customHeight="1">
      <c r="A18" s="20" t="inlineStr">
        <is>
          <t>VaR Hist. √10</t>
        </is>
      </c>
      <c r="B18" s="58" t="inlineStr">
        <is>
          <t>95%</t>
        </is>
      </c>
      <c r="C18" s="58" t="inlineStr">
        <is>
          <t>10 dias</t>
        </is>
      </c>
      <c r="D18" s="41">
        <f>ABS(PERCENTILE(RETORNOS_HIST!C4:C522,1-PARÂMETROS!B5))*SQRT(PARÂMETROS!B9)</f>
        <v/>
      </c>
      <c r="E18" s="59">
        <f>D18*PARÂMETROS!B24</f>
        <v/>
      </c>
      <c r="F18" s="41">
        <f>AVERAGEIF(RETORNOS_HIST!C4:C522,"&lt;"&amp;PERCENTILE(RETORNOS_HIST!C4:C522,1-PARÂMETROS!B5))*-1*SQRT(PARÂMETROS!B9)</f>
        <v/>
      </c>
      <c r="G18" s="59">
        <f>F18*PARÂMETROS!B24</f>
        <v/>
      </c>
    </row>
    <row r="21" ht="22" customHeight="1">
      <c r="A21" s="19" t="inlineStr">
        <is>
          <t>DISTRIBUIÇÃO DE FREQUÊNCIA DOS RETORNOS (para gráfico)</t>
        </is>
      </c>
    </row>
    <row r="22">
      <c r="A22" s="18" t="inlineStr">
        <is>
          <t>BUCKET (limite sup.)</t>
        </is>
      </c>
      <c r="B22" s="18" t="inlineStr">
        <is>
          <t>CONTAGEM</t>
        </is>
      </c>
      <c r="C22" s="18" t="inlineStr">
        <is>
          <t>FREQUÊNCIA (%)</t>
        </is>
      </c>
    </row>
    <row r="23" ht="18" customHeight="1">
      <c r="A23" s="60" t="n">
        <v>-0.05</v>
      </c>
      <c r="B23" s="61">
        <f>COUNTIF(RETORNOS_HIST!C4:C522,"&lt;="&amp;A23)</f>
        <v/>
      </c>
      <c r="C23" s="44">
        <f>B23/(=COUNTA(RETORNOS_HIST!C4:C522)-1)</f>
        <v/>
      </c>
    </row>
    <row r="24" ht="18" customHeight="1">
      <c r="A24" s="60" t="n">
        <v>-0.04</v>
      </c>
      <c r="B24" s="62">
        <f>COUNTIF(RETORNOS_HIST!C4:C522,"&lt;="&amp;A24)-COUNTIF(RETORNOS_HIST!C4:C522,"&lt;="&amp;A23)</f>
        <v/>
      </c>
      <c r="C24" s="41">
        <f>B24/(=COUNTA(RETORNOS_HIST!C4:C522)-1)</f>
        <v/>
      </c>
    </row>
    <row r="25" ht="18" customHeight="1">
      <c r="A25" s="60" t="n">
        <v>-0.03</v>
      </c>
      <c r="B25" s="61">
        <f>COUNTIF(RETORNOS_HIST!C4:C522,"&lt;="&amp;A25)-COUNTIF(RETORNOS_HIST!C4:C522,"&lt;="&amp;A24)</f>
        <v/>
      </c>
      <c r="C25" s="44">
        <f>B25/(=COUNTA(RETORNOS_HIST!C4:C522)-1)</f>
        <v/>
      </c>
    </row>
    <row r="26" ht="18" customHeight="1">
      <c r="A26" s="60" t="n">
        <v>-0.025</v>
      </c>
      <c r="B26" s="62">
        <f>COUNTIF(RETORNOS_HIST!C4:C522,"&lt;="&amp;A26)-COUNTIF(RETORNOS_HIST!C4:C522,"&lt;="&amp;A25)</f>
        <v/>
      </c>
      <c r="C26" s="41">
        <f>B26/(=COUNTA(RETORNOS_HIST!C4:C522)-1)</f>
        <v/>
      </c>
    </row>
    <row r="27" ht="18" customHeight="1">
      <c r="A27" s="60" t="n">
        <v>-0.02</v>
      </c>
      <c r="B27" s="61">
        <f>COUNTIF(RETORNOS_HIST!C4:C522,"&lt;="&amp;A27)-COUNTIF(RETORNOS_HIST!C4:C522,"&lt;="&amp;A26)</f>
        <v/>
      </c>
      <c r="C27" s="44">
        <f>B27/(=COUNTA(RETORNOS_HIST!C4:C522)-1)</f>
        <v/>
      </c>
    </row>
    <row r="28" ht="18" customHeight="1">
      <c r="A28" s="60" t="n">
        <v>-0.015</v>
      </c>
      <c r="B28" s="62">
        <f>COUNTIF(RETORNOS_HIST!C4:C522,"&lt;="&amp;A28)-COUNTIF(RETORNOS_HIST!C4:C522,"&lt;="&amp;A27)</f>
        <v/>
      </c>
      <c r="C28" s="41">
        <f>B28/(=COUNTA(RETORNOS_HIST!C4:C522)-1)</f>
        <v/>
      </c>
    </row>
    <row r="29" ht="18" customHeight="1">
      <c r="A29" s="60" t="n">
        <v>-0.01</v>
      </c>
      <c r="B29" s="61">
        <f>COUNTIF(RETORNOS_HIST!C4:C522,"&lt;="&amp;A29)-COUNTIF(RETORNOS_HIST!C4:C522,"&lt;="&amp;A28)</f>
        <v/>
      </c>
      <c r="C29" s="44">
        <f>B29/(=COUNTA(RETORNOS_HIST!C4:C522)-1)</f>
        <v/>
      </c>
    </row>
    <row r="30" ht="18" customHeight="1">
      <c r="A30" s="60" t="n">
        <v>-0.005</v>
      </c>
      <c r="B30" s="62">
        <f>COUNTIF(RETORNOS_HIST!C4:C522,"&lt;="&amp;A30)-COUNTIF(RETORNOS_HIST!C4:C522,"&lt;="&amp;A29)</f>
        <v/>
      </c>
      <c r="C30" s="41">
        <f>B30/(=COUNTA(RETORNOS_HIST!C4:C522)-1)</f>
        <v/>
      </c>
    </row>
    <row r="31" ht="18" customHeight="1">
      <c r="A31" s="60" t="n">
        <v>0</v>
      </c>
      <c r="B31" s="61">
        <f>COUNTIF(RETORNOS_HIST!C4:C522,"&lt;="&amp;A31)-COUNTIF(RETORNOS_HIST!C4:C522,"&lt;="&amp;A30)</f>
        <v/>
      </c>
      <c r="C31" s="44">
        <f>B31/(=COUNTA(RETORNOS_HIST!C4:C522)-1)</f>
        <v/>
      </c>
    </row>
    <row r="32" ht="18" customHeight="1">
      <c r="A32" s="60" t="n">
        <v>0.005</v>
      </c>
      <c r="B32" s="62">
        <f>COUNTIF(RETORNOS_HIST!C4:C522,"&lt;="&amp;A32)-COUNTIF(RETORNOS_HIST!C4:C522,"&lt;="&amp;A31)</f>
        <v/>
      </c>
      <c r="C32" s="41">
        <f>B32/(=COUNTA(RETORNOS_HIST!C4:C522)-1)</f>
        <v/>
      </c>
    </row>
    <row r="33" ht="18" customHeight="1">
      <c r="A33" s="60" t="n">
        <v>0.01</v>
      </c>
      <c r="B33" s="61">
        <f>COUNTIF(RETORNOS_HIST!C4:C522,"&lt;="&amp;A33)-COUNTIF(RETORNOS_HIST!C4:C522,"&lt;="&amp;A32)</f>
        <v/>
      </c>
      <c r="C33" s="44">
        <f>B33/(=COUNTA(RETORNOS_HIST!C4:C522)-1)</f>
        <v/>
      </c>
    </row>
    <row r="34" ht="18" customHeight="1">
      <c r="A34" s="60" t="n">
        <v>0.015</v>
      </c>
      <c r="B34" s="62">
        <f>COUNTIF(RETORNOS_HIST!C4:C522,"&lt;="&amp;A34)-COUNTIF(RETORNOS_HIST!C4:C522,"&lt;="&amp;A33)</f>
        <v/>
      </c>
      <c r="C34" s="41">
        <f>B34/(=COUNTA(RETORNOS_HIST!C4:C522)-1)</f>
        <v/>
      </c>
    </row>
    <row r="35" ht="18" customHeight="1">
      <c r="A35" s="60" t="n">
        <v>0.02</v>
      </c>
      <c r="B35" s="61">
        <f>COUNTIF(RETORNOS_HIST!C4:C522,"&lt;="&amp;A35)-COUNTIF(RETORNOS_HIST!C4:C522,"&lt;="&amp;A34)</f>
        <v/>
      </c>
      <c r="C35" s="44">
        <f>B35/(=COUNTA(RETORNOS_HIST!C4:C522)-1)</f>
        <v/>
      </c>
    </row>
    <row r="36" ht="18" customHeight="1">
      <c r="A36" s="60" t="n">
        <v>0.025</v>
      </c>
      <c r="B36" s="62">
        <f>COUNTIF(RETORNOS_HIST!C4:C522,"&lt;="&amp;A36)-COUNTIF(RETORNOS_HIST!C4:C522,"&lt;="&amp;A35)</f>
        <v/>
      </c>
      <c r="C36" s="41">
        <f>B36/(=COUNTA(RETORNOS_HIST!C4:C522)-1)</f>
        <v/>
      </c>
    </row>
    <row r="37" ht="18" customHeight="1">
      <c r="A37" s="60" t="n">
        <v>0.03</v>
      </c>
      <c r="B37" s="61">
        <f>COUNTIF(RETORNOS_HIST!C4:C522,"&lt;="&amp;A37)-COUNTIF(RETORNOS_HIST!C4:C522,"&lt;="&amp;A36)</f>
        <v/>
      </c>
      <c r="C37" s="44">
        <f>B37/(=COUNTA(RETORNOS_HIST!C4:C522)-1)</f>
        <v/>
      </c>
    </row>
    <row r="38" ht="18" customHeight="1">
      <c r="A38" s="60" t="n">
        <v>0.04</v>
      </c>
      <c r="B38" s="62">
        <f>COUNTIF(RETORNOS_HIST!C4:C522,"&lt;="&amp;A38)-COUNTIF(RETORNOS_HIST!C4:C522,"&lt;="&amp;A37)</f>
        <v/>
      </c>
      <c r="C38" s="41">
        <f>B38/(=COUNTA(RETORNOS_HIST!C4:C522)-1)</f>
        <v/>
      </c>
    </row>
    <row r="39" ht="18" customHeight="1">
      <c r="A39" s="60" t="n">
        <v>0.05</v>
      </c>
      <c r="B39" s="61">
        <f>COUNTIF(RETORNOS_HIST!C4:C522,"&lt;="&amp;A39)-COUNTIF(RETORNOS_HIST!C4:C522,"&lt;="&amp;A38)</f>
        <v/>
      </c>
      <c r="C39" s="44">
        <f>B39/(=COUNTA(RETORNOS_HIST!C4:C522)-1)</f>
        <v/>
      </c>
    </row>
  </sheetData>
  <mergeCells count="5">
    <mergeCell ref="A1:G1"/>
    <mergeCell ref="A13:F13"/>
    <mergeCell ref="A5:F5"/>
    <mergeCell ref="A2:G3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70C0"/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14" customWidth="1" min="5" max="5"/>
    <col width="20" customWidth="1" min="6" max="6"/>
    <col width="22" customWidth="1" min="7" max="7"/>
  </cols>
  <sheetData>
    <row r="1" ht="40" customHeight="1">
      <c r="A1" s="17" t="inlineStr">
        <is>
          <t>VaR – MÉTODO PARAMÉTRICO (DELTA-NORMAL)</t>
        </is>
      </c>
    </row>
    <row r="2">
      <c r="A2" s="50" t="inlineStr">
        <is>
          <t>Metodologia: Assume distribuição Normal para os retornos. VaR = Z(α) × σ × √T × Nocional, onde σ é o desvio padrão histórico dos retornos log e Z(α) é o quantil da distribuição normal padrão. Limitação: subestima o VaR em caudas pesadas (fat tails).</t>
        </is>
      </c>
    </row>
    <row r="3"/>
    <row r="5" ht="22" customHeight="1">
      <c r="A5" s="19" t="inlineStr">
        <is>
          <t>ESTATÍSTICAS DOS RETORNOS</t>
        </is>
      </c>
    </row>
    <row r="6" ht="20" customHeight="1">
      <c r="A6" s="20" t="inlineStr">
        <is>
          <t>Média Retornos Log (μ)</t>
        </is>
      </c>
      <c r="B6" s="40">
        <f>AVERAGE(RETORNOS_HIST!C4:C522)</f>
        <v/>
      </c>
    </row>
    <row r="7" ht="20" customHeight="1">
      <c r="A7" s="24" t="inlineStr">
        <is>
          <t>Desv. Padrão Diário (σ_d)</t>
        </is>
      </c>
      <c r="B7" s="43">
        <f>STDEV(RETORNOS_HIST!C4:C522)</f>
        <v/>
      </c>
    </row>
    <row r="8" ht="20" customHeight="1">
      <c r="A8" s="20" t="inlineStr">
        <is>
          <t>Volatilidade Anualizada</t>
        </is>
      </c>
      <c r="B8" s="41">
        <f>STDEV(RETORNOS_HIST!C4:C522)*SQRT(PARÂMETROS!B10)</f>
        <v/>
      </c>
    </row>
    <row r="9" ht="20" customHeight="1">
      <c r="A9" s="24" t="inlineStr">
        <is>
          <t>Nº Observações</t>
        </is>
      </c>
      <c r="B9" s="61">
        <f>COUNTA(RETORNOS_HIST!C4:C522)-1</f>
        <v/>
      </c>
    </row>
    <row r="11" ht="22" customHeight="1">
      <c r="A11" s="19" t="inlineStr">
        <is>
          <t>Z-SCORES (quantis da distribuição normal padrão)</t>
        </is>
      </c>
    </row>
    <row r="12" ht="18" customHeight="1">
      <c r="A12" s="20" t="inlineStr">
        <is>
          <t>Z 99% (unilateral)</t>
        </is>
      </c>
      <c r="B12" s="63" t="n">
        <v>2.326</v>
      </c>
      <c r="E12" s="64" t="inlineStr">
        <is>
          <t>Fonte: tabela normal padrão</t>
        </is>
      </c>
    </row>
    <row r="13" ht="18" customHeight="1">
      <c r="A13" s="24" t="inlineStr">
        <is>
          <t>Z 97,5% (bilateral)</t>
        </is>
      </c>
      <c r="B13" s="65" t="n">
        <v>1.96</v>
      </c>
      <c r="E13" s="64" t="inlineStr">
        <is>
          <t>Basileia – Expected Shortfall</t>
        </is>
      </c>
    </row>
    <row r="14" ht="18" customHeight="1">
      <c r="A14" s="20" t="inlineStr">
        <is>
          <t>Z 95% (unilateral)</t>
        </is>
      </c>
      <c r="B14" s="63" t="n">
        <v>1.645</v>
      </c>
      <c r="E14" s="64" t="inlineStr">
        <is>
          <t>Gestão interna</t>
        </is>
      </c>
    </row>
    <row r="15" ht="18" customHeight="1">
      <c r="A15" s="24" t="inlineStr">
        <is>
          <t>Z 90% (unilateral)</t>
        </is>
      </c>
      <c r="B15" s="65" t="n">
        <v>1.282</v>
      </c>
      <c r="E15" s="64" t="inlineStr">
        <is>
          <t>Análise de sensibilidade</t>
        </is>
      </c>
    </row>
    <row r="17" ht="22" customHeight="1">
      <c r="A17" s="19" t="inlineStr">
        <is>
          <t>RESULTADOS – VaR PARAMÉTRICO</t>
        </is>
      </c>
    </row>
    <row r="18">
      <c r="A18" s="18" t="inlineStr">
        <is>
          <t>MÉTRICA</t>
        </is>
      </c>
      <c r="B18" s="18" t="inlineStr">
        <is>
          <t>CONF.</t>
        </is>
      </c>
      <c r="C18" s="18" t="inlineStr">
        <is>
          <t>HORIZONTE</t>
        </is>
      </c>
      <c r="D18" s="18" t="inlineStr">
        <is>
          <t>Z-SCORE</t>
        </is>
      </c>
      <c r="E18" s="18" t="inlineStr">
        <is>
          <t>VaR (%)</t>
        </is>
      </c>
      <c r="F18" s="18" t="inlineStr">
        <is>
          <t>VaR (R$)</t>
        </is>
      </c>
      <c r="G18" s="18" t="inlineStr">
        <is>
          <t>Comparação Hist.</t>
        </is>
      </c>
    </row>
    <row r="19" ht="20" customHeight="1">
      <c r="A19" s="24" t="inlineStr">
        <is>
          <t>VaR Param.</t>
        </is>
      </c>
      <c r="B19" s="56" t="inlineStr">
        <is>
          <t>99%</t>
        </is>
      </c>
      <c r="C19" s="56" t="inlineStr">
        <is>
          <t>1 dia</t>
        </is>
      </c>
      <c r="D19" s="66">
        <f>B12</f>
        <v/>
      </c>
      <c r="E19" s="44">
        <f>B12*B7*SQRT(1)</f>
        <v/>
      </c>
      <c r="F19" s="57">
        <f>E19*PARÂMETROS!B24</f>
        <v/>
      </c>
      <c r="G19" s="52">
        <f>E19-VaR_HISTÓRICO!D15</f>
        <v/>
      </c>
    </row>
    <row r="20" ht="20" customHeight="1">
      <c r="A20" s="20" t="inlineStr">
        <is>
          <t>VaR Param.</t>
        </is>
      </c>
      <c r="B20" s="58" t="inlineStr">
        <is>
          <t>95%</t>
        </is>
      </c>
      <c r="C20" s="58" t="inlineStr">
        <is>
          <t>1 dia</t>
        </is>
      </c>
      <c r="D20" s="67">
        <f>B14</f>
        <v/>
      </c>
      <c r="E20" s="41">
        <f>B14*B7*SQRT(1)</f>
        <v/>
      </c>
      <c r="F20" s="59">
        <f>E20*PARÂMETROS!B24</f>
        <v/>
      </c>
      <c r="G20" s="51">
        <f>E20-VaR_HISTÓRICO!D16</f>
        <v/>
      </c>
    </row>
    <row r="21" ht="20" customHeight="1">
      <c r="A21" s="24" t="inlineStr">
        <is>
          <t>VaR Param.</t>
        </is>
      </c>
      <c r="B21" s="56" t="inlineStr">
        <is>
          <t>99%</t>
        </is>
      </c>
      <c r="C21" s="56" t="inlineStr">
        <is>
          <t>10 dias</t>
        </is>
      </c>
      <c r="D21" s="66">
        <f>B12</f>
        <v/>
      </c>
      <c r="E21" s="44">
        <f>B12*B7*SQRT(10)</f>
        <v/>
      </c>
      <c r="F21" s="57">
        <f>E21*PARÂMETROS!B24</f>
        <v/>
      </c>
      <c r="G21" s="52">
        <f>E21-VaR_HISTÓRICO!D17</f>
        <v/>
      </c>
    </row>
    <row r="22" ht="20" customHeight="1">
      <c r="A22" s="20" t="inlineStr">
        <is>
          <t>VaR Param.</t>
        </is>
      </c>
      <c r="B22" s="58" t="inlineStr">
        <is>
          <t>95%</t>
        </is>
      </c>
      <c r="C22" s="58" t="inlineStr">
        <is>
          <t>10 dias</t>
        </is>
      </c>
      <c r="D22" s="67">
        <f>B14</f>
        <v/>
      </c>
      <c r="E22" s="41">
        <f>B14*B7*SQRT(10)</f>
        <v/>
      </c>
      <c r="F22" s="59">
        <f>E22*PARÂMETROS!B24</f>
        <v/>
      </c>
      <c r="G22" s="51">
        <f>E22-VaR_HISTÓRICO!D18</f>
        <v/>
      </c>
    </row>
  </sheetData>
  <mergeCells count="5">
    <mergeCell ref="A11:F11"/>
    <mergeCell ref="A1:G1"/>
    <mergeCell ref="A5:F5"/>
    <mergeCell ref="A17:F17"/>
    <mergeCell ref="A2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5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8" customWidth="1" min="5" max="5"/>
    <col width="20" customWidth="1" min="6" max="6"/>
    <col width="16" customWidth="1" min="7" max="7"/>
    <col width="20" customWidth="1" min="8" max="8"/>
  </cols>
  <sheetData>
    <row r="1" ht="40" customHeight="1">
      <c r="A1" s="17" t="inlineStr">
        <is>
          <t>VOLATILIDADE EWMA – RISKMETRICS (λ = 0,94)</t>
        </is>
      </c>
    </row>
    <row r="2" ht="22" customHeight="1">
      <c r="A2" s="18" t="inlineStr">
        <is>
          <t>DATA</t>
        </is>
      </c>
      <c r="B2" s="18" t="inlineStr">
        <is>
          <t>RETORNO LOG</t>
        </is>
      </c>
      <c r="C2" s="18" t="inlineStr">
        <is>
          <t>r² (t)</t>
        </is>
      </c>
      <c r="D2" s="18" t="inlineStr">
        <is>
          <t>VARIÂNCIA EWMA σ²(t)</t>
        </is>
      </c>
      <c r="E2" s="18" t="inlineStr">
        <is>
          <t>VOL EWMA σ(t)</t>
        </is>
      </c>
      <c r="F2" s="18" t="inlineStr">
        <is>
          <t>VOL EWMA ANUAL.</t>
        </is>
      </c>
      <c r="G2" s="18" t="inlineStr">
        <is>
          <t>VaR 99% 1d (%)</t>
        </is>
      </c>
      <c r="H2" s="18" t="inlineStr">
        <is>
          <t>VaR 99% 1d (R$)</t>
        </is>
      </c>
    </row>
    <row r="3" ht="16" customHeight="1">
      <c r="A3" s="35" t="n">
        <v>44564</v>
      </c>
      <c r="B3" s="68">
        <f>RETORNOS_HIST!C3</f>
        <v/>
      </c>
      <c r="C3" s="45">
        <f>0</f>
        <v/>
      </c>
      <c r="D3" s="45">
        <f>C3</f>
        <v/>
      </c>
      <c r="E3" s="43">
        <f>SQRT(D3)</f>
        <v/>
      </c>
      <c r="F3" s="44">
        <f>E3*SQRT(PARÂMETROS!B10)</f>
        <v/>
      </c>
      <c r="G3" s="44">
        <f>VaR_PARAMÉTRICO!B12*E3</f>
        <v/>
      </c>
      <c r="H3" s="57">
        <f>G3*PARÂMETROS!B24</f>
        <v/>
      </c>
    </row>
    <row r="4" ht="16" customHeight="1">
      <c r="A4" s="38" t="n">
        <v>44565</v>
      </c>
      <c r="B4" s="69">
        <f>RETORNOS_HIST!C4</f>
        <v/>
      </c>
      <c r="C4" s="42">
        <f>B4^2</f>
        <v/>
      </c>
      <c r="D4" s="42">
        <f>C4</f>
        <v/>
      </c>
      <c r="E4" s="40">
        <f>SQRT(D4)</f>
        <v/>
      </c>
      <c r="F4" s="41">
        <f>E4*SQRT(PARÂMETROS!B10)</f>
        <v/>
      </c>
      <c r="G4" s="41">
        <f>VaR_PARAMÉTRICO!B12*E4</f>
        <v/>
      </c>
      <c r="H4" s="59">
        <f>G4*PARÂMETROS!B24</f>
        <v/>
      </c>
    </row>
    <row r="5" ht="16" customHeight="1">
      <c r="A5" s="35" t="n">
        <v>44566</v>
      </c>
      <c r="B5" s="68">
        <f>RETORNOS_HIST!C5</f>
        <v/>
      </c>
      <c r="C5" s="45">
        <f>B5^2</f>
        <v/>
      </c>
      <c r="D5" s="45">
        <f>PARÂMETROS!B21*D4+(1-PARÂMETROS!B21)*C4</f>
        <v/>
      </c>
      <c r="E5" s="43">
        <f>SQRT(D5)</f>
        <v/>
      </c>
      <c r="F5" s="44">
        <f>E5*SQRT(PARÂMETROS!B10)</f>
        <v/>
      </c>
      <c r="G5" s="44">
        <f>VaR_PARAMÉTRICO!B12*E5</f>
        <v/>
      </c>
      <c r="H5" s="57">
        <f>G5*PARÂMETROS!B24</f>
        <v/>
      </c>
    </row>
    <row r="6" ht="16" customHeight="1">
      <c r="A6" s="38" t="n">
        <v>44567</v>
      </c>
      <c r="B6" s="69">
        <f>RETORNOS_HIST!C6</f>
        <v/>
      </c>
      <c r="C6" s="42">
        <f>B6^2</f>
        <v/>
      </c>
      <c r="D6" s="42">
        <f>PARÂMETROS!B21*D5+(1-PARÂMETROS!B21)*C5</f>
        <v/>
      </c>
      <c r="E6" s="40">
        <f>SQRT(D6)</f>
        <v/>
      </c>
      <c r="F6" s="41">
        <f>E6*SQRT(PARÂMETROS!B10)</f>
        <v/>
      </c>
      <c r="G6" s="41">
        <f>VaR_PARAMÉTRICO!B12*E6</f>
        <v/>
      </c>
      <c r="H6" s="59">
        <f>G6*PARÂMETROS!B24</f>
        <v/>
      </c>
    </row>
    <row r="7" ht="16" customHeight="1">
      <c r="A7" s="35" t="n">
        <v>44568</v>
      </c>
      <c r="B7" s="68">
        <f>RETORNOS_HIST!C7</f>
        <v/>
      </c>
      <c r="C7" s="45">
        <f>B7^2</f>
        <v/>
      </c>
      <c r="D7" s="45">
        <f>PARÂMETROS!B21*D6+(1-PARÂMETROS!B21)*C6</f>
        <v/>
      </c>
      <c r="E7" s="43">
        <f>SQRT(D7)</f>
        <v/>
      </c>
      <c r="F7" s="44">
        <f>E7*SQRT(PARÂMETROS!B10)</f>
        <v/>
      </c>
      <c r="G7" s="44">
        <f>VaR_PARAMÉTRICO!B12*E7</f>
        <v/>
      </c>
      <c r="H7" s="57">
        <f>G7*PARÂMETROS!B24</f>
        <v/>
      </c>
    </row>
    <row r="8" ht="16" customHeight="1">
      <c r="A8" s="38" t="n">
        <v>44571</v>
      </c>
      <c r="B8" s="69">
        <f>RETORNOS_HIST!C8</f>
        <v/>
      </c>
      <c r="C8" s="42">
        <f>B8^2</f>
        <v/>
      </c>
      <c r="D8" s="42">
        <f>PARÂMETROS!B21*D7+(1-PARÂMETROS!B21)*C7</f>
        <v/>
      </c>
      <c r="E8" s="40">
        <f>SQRT(D8)</f>
        <v/>
      </c>
      <c r="F8" s="41">
        <f>E8*SQRT(PARÂMETROS!B10)</f>
        <v/>
      </c>
      <c r="G8" s="41">
        <f>VaR_PARAMÉTRICO!B12*E8</f>
        <v/>
      </c>
      <c r="H8" s="59">
        <f>G8*PARÂMETROS!B24</f>
        <v/>
      </c>
    </row>
    <row r="9" ht="16" customHeight="1">
      <c r="A9" s="35" t="n">
        <v>44572</v>
      </c>
      <c r="B9" s="68">
        <f>RETORNOS_HIST!C9</f>
        <v/>
      </c>
      <c r="C9" s="45">
        <f>B9^2</f>
        <v/>
      </c>
      <c r="D9" s="45">
        <f>PARÂMETROS!B21*D8+(1-PARÂMETROS!B21)*C8</f>
        <v/>
      </c>
      <c r="E9" s="43">
        <f>SQRT(D9)</f>
        <v/>
      </c>
      <c r="F9" s="44">
        <f>E9*SQRT(PARÂMETROS!B10)</f>
        <v/>
      </c>
      <c r="G9" s="44">
        <f>VaR_PARAMÉTRICO!B12*E9</f>
        <v/>
      </c>
      <c r="H9" s="57">
        <f>G9*PARÂMETROS!B24</f>
        <v/>
      </c>
    </row>
    <row r="10" ht="16" customHeight="1">
      <c r="A10" s="38" t="n">
        <v>44573</v>
      </c>
      <c r="B10" s="69">
        <f>RETORNOS_HIST!C10</f>
        <v/>
      </c>
      <c r="C10" s="42">
        <f>B10^2</f>
        <v/>
      </c>
      <c r="D10" s="42">
        <f>PARÂMETROS!B21*D9+(1-PARÂMETROS!B21)*C9</f>
        <v/>
      </c>
      <c r="E10" s="40">
        <f>SQRT(D10)</f>
        <v/>
      </c>
      <c r="F10" s="41">
        <f>E10*SQRT(PARÂMETROS!B10)</f>
        <v/>
      </c>
      <c r="G10" s="41">
        <f>VaR_PARAMÉTRICO!B12*E10</f>
        <v/>
      </c>
      <c r="H10" s="59">
        <f>G10*PARÂMETROS!B24</f>
        <v/>
      </c>
    </row>
    <row r="11" ht="16" customHeight="1">
      <c r="A11" s="35" t="n">
        <v>44574</v>
      </c>
      <c r="B11" s="68">
        <f>RETORNOS_HIST!C11</f>
        <v/>
      </c>
      <c r="C11" s="45">
        <f>B11^2</f>
        <v/>
      </c>
      <c r="D11" s="45">
        <f>PARÂMETROS!B21*D10+(1-PARÂMETROS!B21)*C10</f>
        <v/>
      </c>
      <c r="E11" s="43">
        <f>SQRT(D11)</f>
        <v/>
      </c>
      <c r="F11" s="44">
        <f>E11*SQRT(PARÂMETROS!B10)</f>
        <v/>
      </c>
      <c r="G11" s="44">
        <f>VaR_PARAMÉTRICO!B12*E11</f>
        <v/>
      </c>
      <c r="H11" s="57">
        <f>G11*PARÂMETROS!B24</f>
        <v/>
      </c>
    </row>
    <row r="12" ht="16" customHeight="1">
      <c r="A12" s="38" t="n">
        <v>44575</v>
      </c>
      <c r="B12" s="69">
        <f>RETORNOS_HIST!C12</f>
        <v/>
      </c>
      <c r="C12" s="42">
        <f>B12^2</f>
        <v/>
      </c>
      <c r="D12" s="42">
        <f>PARÂMETROS!B21*D11+(1-PARÂMETROS!B21)*C11</f>
        <v/>
      </c>
      <c r="E12" s="40">
        <f>SQRT(D12)</f>
        <v/>
      </c>
      <c r="F12" s="41">
        <f>E12*SQRT(PARÂMETROS!B10)</f>
        <v/>
      </c>
      <c r="G12" s="41">
        <f>VaR_PARAMÉTRICO!B12*E12</f>
        <v/>
      </c>
      <c r="H12" s="59">
        <f>G12*PARÂMETROS!B24</f>
        <v/>
      </c>
    </row>
    <row r="13" ht="16" customHeight="1">
      <c r="A13" s="35" t="n">
        <v>44578</v>
      </c>
      <c r="B13" s="68">
        <f>RETORNOS_HIST!C13</f>
        <v/>
      </c>
      <c r="C13" s="45">
        <f>B13^2</f>
        <v/>
      </c>
      <c r="D13" s="45">
        <f>PARÂMETROS!B21*D12+(1-PARÂMETROS!B21)*C12</f>
        <v/>
      </c>
      <c r="E13" s="43">
        <f>SQRT(D13)</f>
        <v/>
      </c>
      <c r="F13" s="44">
        <f>E13*SQRT(PARÂMETROS!B10)</f>
        <v/>
      </c>
      <c r="G13" s="44">
        <f>VaR_PARAMÉTRICO!B12*E13</f>
        <v/>
      </c>
      <c r="H13" s="57">
        <f>G13*PARÂMETROS!B24</f>
        <v/>
      </c>
    </row>
    <row r="14" ht="16" customHeight="1">
      <c r="A14" s="38" t="n">
        <v>44579</v>
      </c>
      <c r="B14" s="69">
        <f>RETORNOS_HIST!C14</f>
        <v/>
      </c>
      <c r="C14" s="42">
        <f>B14^2</f>
        <v/>
      </c>
      <c r="D14" s="42">
        <f>PARÂMETROS!B21*D13+(1-PARÂMETROS!B21)*C13</f>
        <v/>
      </c>
      <c r="E14" s="40">
        <f>SQRT(D14)</f>
        <v/>
      </c>
      <c r="F14" s="41">
        <f>E14*SQRT(PARÂMETROS!B10)</f>
        <v/>
      </c>
      <c r="G14" s="41">
        <f>VaR_PARAMÉTRICO!B12*E14</f>
        <v/>
      </c>
      <c r="H14" s="59">
        <f>G14*PARÂMETROS!B24</f>
        <v/>
      </c>
    </row>
    <row r="15" ht="16" customHeight="1">
      <c r="A15" s="35" t="n">
        <v>44580</v>
      </c>
      <c r="B15" s="68">
        <f>RETORNOS_HIST!C15</f>
        <v/>
      </c>
      <c r="C15" s="45">
        <f>B15^2</f>
        <v/>
      </c>
      <c r="D15" s="45">
        <f>PARÂMETROS!B21*D14+(1-PARÂMETROS!B21)*C14</f>
        <v/>
      </c>
      <c r="E15" s="43">
        <f>SQRT(D15)</f>
        <v/>
      </c>
      <c r="F15" s="44">
        <f>E15*SQRT(PARÂMETROS!B10)</f>
        <v/>
      </c>
      <c r="G15" s="44">
        <f>VaR_PARAMÉTRICO!B12*E15</f>
        <v/>
      </c>
      <c r="H15" s="57">
        <f>G15*PARÂMETROS!B24</f>
        <v/>
      </c>
    </row>
    <row r="16" ht="16" customHeight="1">
      <c r="A16" s="38" t="n">
        <v>44581</v>
      </c>
      <c r="B16" s="69">
        <f>RETORNOS_HIST!C16</f>
        <v/>
      </c>
      <c r="C16" s="42">
        <f>B16^2</f>
        <v/>
      </c>
      <c r="D16" s="42">
        <f>PARÂMETROS!B21*D15+(1-PARÂMETROS!B21)*C15</f>
        <v/>
      </c>
      <c r="E16" s="40">
        <f>SQRT(D16)</f>
        <v/>
      </c>
      <c r="F16" s="41">
        <f>E16*SQRT(PARÂMETROS!B10)</f>
        <v/>
      </c>
      <c r="G16" s="41">
        <f>VaR_PARAMÉTRICO!B12*E16</f>
        <v/>
      </c>
      <c r="H16" s="59">
        <f>G16*PARÂMETROS!B24</f>
        <v/>
      </c>
    </row>
    <row r="17" ht="16" customHeight="1">
      <c r="A17" s="35" t="n">
        <v>44582</v>
      </c>
      <c r="B17" s="68">
        <f>RETORNOS_HIST!C17</f>
        <v/>
      </c>
      <c r="C17" s="45">
        <f>B17^2</f>
        <v/>
      </c>
      <c r="D17" s="45">
        <f>PARÂMETROS!B21*D16+(1-PARÂMETROS!B21)*C16</f>
        <v/>
      </c>
      <c r="E17" s="43">
        <f>SQRT(D17)</f>
        <v/>
      </c>
      <c r="F17" s="44">
        <f>E17*SQRT(PARÂMETROS!B10)</f>
        <v/>
      </c>
      <c r="G17" s="44">
        <f>VaR_PARAMÉTRICO!B12*E17</f>
        <v/>
      </c>
      <c r="H17" s="57">
        <f>G17*PARÂMETROS!B24</f>
        <v/>
      </c>
    </row>
    <row r="18" ht="16" customHeight="1">
      <c r="A18" s="38" t="n">
        <v>44585</v>
      </c>
      <c r="B18" s="69">
        <f>RETORNOS_HIST!C18</f>
        <v/>
      </c>
      <c r="C18" s="42">
        <f>B18^2</f>
        <v/>
      </c>
      <c r="D18" s="42">
        <f>PARÂMETROS!B21*D17+(1-PARÂMETROS!B21)*C17</f>
        <v/>
      </c>
      <c r="E18" s="40">
        <f>SQRT(D18)</f>
        <v/>
      </c>
      <c r="F18" s="41">
        <f>E18*SQRT(PARÂMETROS!B10)</f>
        <v/>
      </c>
      <c r="G18" s="41">
        <f>VaR_PARAMÉTRICO!B12*E18</f>
        <v/>
      </c>
      <c r="H18" s="59">
        <f>G18*PARÂMETROS!B24</f>
        <v/>
      </c>
    </row>
    <row r="19" ht="16" customHeight="1">
      <c r="A19" s="35" t="n">
        <v>44586</v>
      </c>
      <c r="B19" s="68">
        <f>RETORNOS_HIST!C19</f>
        <v/>
      </c>
      <c r="C19" s="45">
        <f>B19^2</f>
        <v/>
      </c>
      <c r="D19" s="45">
        <f>PARÂMETROS!B21*D18+(1-PARÂMETROS!B21)*C18</f>
        <v/>
      </c>
      <c r="E19" s="43">
        <f>SQRT(D19)</f>
        <v/>
      </c>
      <c r="F19" s="44">
        <f>E19*SQRT(PARÂMETROS!B10)</f>
        <v/>
      </c>
      <c r="G19" s="44">
        <f>VaR_PARAMÉTRICO!B12*E19</f>
        <v/>
      </c>
      <c r="H19" s="57">
        <f>G19*PARÂMETROS!B24</f>
        <v/>
      </c>
    </row>
    <row r="20" ht="16" customHeight="1">
      <c r="A20" s="38" t="n">
        <v>44587</v>
      </c>
      <c r="B20" s="69">
        <f>RETORNOS_HIST!C20</f>
        <v/>
      </c>
      <c r="C20" s="42">
        <f>B20^2</f>
        <v/>
      </c>
      <c r="D20" s="42">
        <f>PARÂMETROS!B21*D19+(1-PARÂMETROS!B21)*C19</f>
        <v/>
      </c>
      <c r="E20" s="40">
        <f>SQRT(D20)</f>
        <v/>
      </c>
      <c r="F20" s="41">
        <f>E20*SQRT(PARÂMETROS!B10)</f>
        <v/>
      </c>
      <c r="G20" s="41">
        <f>VaR_PARAMÉTRICO!B12*E20</f>
        <v/>
      </c>
      <c r="H20" s="59">
        <f>G20*PARÂMETROS!B24</f>
        <v/>
      </c>
    </row>
    <row r="21" ht="16" customHeight="1">
      <c r="A21" s="35" t="n">
        <v>44588</v>
      </c>
      <c r="B21" s="68">
        <f>RETORNOS_HIST!C21</f>
        <v/>
      </c>
      <c r="C21" s="45">
        <f>B21^2</f>
        <v/>
      </c>
      <c r="D21" s="45">
        <f>PARÂMETROS!B21*D20+(1-PARÂMETROS!B21)*C20</f>
        <v/>
      </c>
      <c r="E21" s="43">
        <f>SQRT(D21)</f>
        <v/>
      </c>
      <c r="F21" s="44">
        <f>E21*SQRT(PARÂMETROS!B10)</f>
        <v/>
      </c>
      <c r="G21" s="44">
        <f>VaR_PARAMÉTRICO!B12*E21</f>
        <v/>
      </c>
      <c r="H21" s="57">
        <f>G21*PARÂMETROS!B24</f>
        <v/>
      </c>
    </row>
    <row r="22" ht="16" customHeight="1">
      <c r="A22" s="38" t="n">
        <v>44589</v>
      </c>
      <c r="B22" s="69">
        <f>RETORNOS_HIST!C22</f>
        <v/>
      </c>
      <c r="C22" s="42">
        <f>B22^2</f>
        <v/>
      </c>
      <c r="D22" s="42">
        <f>PARÂMETROS!B21*D21+(1-PARÂMETROS!B21)*C21</f>
        <v/>
      </c>
      <c r="E22" s="40">
        <f>SQRT(D22)</f>
        <v/>
      </c>
      <c r="F22" s="41">
        <f>E22*SQRT(PARÂMETROS!B10)</f>
        <v/>
      </c>
      <c r="G22" s="41">
        <f>VaR_PARAMÉTRICO!B12*E22</f>
        <v/>
      </c>
      <c r="H22" s="59">
        <f>G22*PARÂMETROS!B24</f>
        <v/>
      </c>
    </row>
    <row r="23" ht="16" customHeight="1">
      <c r="A23" s="35" t="n">
        <v>44592</v>
      </c>
      <c r="B23" s="68">
        <f>RETORNOS_HIST!C23</f>
        <v/>
      </c>
      <c r="C23" s="45">
        <f>B23^2</f>
        <v/>
      </c>
      <c r="D23" s="45">
        <f>PARÂMETROS!B21*D22+(1-PARÂMETROS!B21)*C22</f>
        <v/>
      </c>
      <c r="E23" s="43">
        <f>SQRT(D23)</f>
        <v/>
      </c>
      <c r="F23" s="44">
        <f>E23*SQRT(PARÂMETROS!B10)</f>
        <v/>
      </c>
      <c r="G23" s="44">
        <f>VaR_PARAMÉTRICO!B12*E23</f>
        <v/>
      </c>
      <c r="H23" s="57">
        <f>G23*PARÂMETROS!B24</f>
        <v/>
      </c>
    </row>
    <row r="24" ht="16" customHeight="1">
      <c r="A24" s="38" t="n">
        <v>44593</v>
      </c>
      <c r="B24" s="69">
        <f>RETORNOS_HIST!C24</f>
        <v/>
      </c>
      <c r="C24" s="42">
        <f>B24^2</f>
        <v/>
      </c>
      <c r="D24" s="42">
        <f>PARÂMETROS!B21*D23+(1-PARÂMETROS!B21)*C23</f>
        <v/>
      </c>
      <c r="E24" s="40">
        <f>SQRT(D24)</f>
        <v/>
      </c>
      <c r="F24" s="41">
        <f>E24*SQRT(PARÂMETROS!B10)</f>
        <v/>
      </c>
      <c r="G24" s="41">
        <f>VaR_PARAMÉTRICO!B12*E24</f>
        <v/>
      </c>
      <c r="H24" s="59">
        <f>G24*PARÂMETROS!B24</f>
        <v/>
      </c>
    </row>
    <row r="25" ht="16" customHeight="1">
      <c r="A25" s="35" t="n">
        <v>44594</v>
      </c>
      <c r="B25" s="68">
        <f>RETORNOS_HIST!C25</f>
        <v/>
      </c>
      <c r="C25" s="45">
        <f>B25^2</f>
        <v/>
      </c>
      <c r="D25" s="45">
        <f>PARÂMETROS!B21*D24+(1-PARÂMETROS!B21)*C24</f>
        <v/>
      </c>
      <c r="E25" s="43">
        <f>SQRT(D25)</f>
        <v/>
      </c>
      <c r="F25" s="44">
        <f>E25*SQRT(PARÂMETROS!B10)</f>
        <v/>
      </c>
      <c r="G25" s="44">
        <f>VaR_PARAMÉTRICO!B12*E25</f>
        <v/>
      </c>
      <c r="H25" s="57">
        <f>G25*PARÂMETROS!B24</f>
        <v/>
      </c>
    </row>
    <row r="26" ht="16" customHeight="1">
      <c r="A26" s="38" t="n">
        <v>44595</v>
      </c>
      <c r="B26" s="69">
        <f>RETORNOS_HIST!C26</f>
        <v/>
      </c>
      <c r="C26" s="42">
        <f>B26^2</f>
        <v/>
      </c>
      <c r="D26" s="42">
        <f>PARÂMETROS!B21*D25+(1-PARÂMETROS!B21)*C25</f>
        <v/>
      </c>
      <c r="E26" s="40">
        <f>SQRT(D26)</f>
        <v/>
      </c>
      <c r="F26" s="41">
        <f>E26*SQRT(PARÂMETROS!B10)</f>
        <v/>
      </c>
      <c r="G26" s="41">
        <f>VaR_PARAMÉTRICO!B12*E26</f>
        <v/>
      </c>
      <c r="H26" s="59">
        <f>G26*PARÂMETROS!B24</f>
        <v/>
      </c>
    </row>
    <row r="27" ht="16" customHeight="1">
      <c r="A27" s="35" t="n">
        <v>44596</v>
      </c>
      <c r="B27" s="68">
        <f>RETORNOS_HIST!C27</f>
        <v/>
      </c>
      <c r="C27" s="45">
        <f>B27^2</f>
        <v/>
      </c>
      <c r="D27" s="45">
        <f>PARÂMETROS!B21*D26+(1-PARÂMETROS!B21)*C26</f>
        <v/>
      </c>
      <c r="E27" s="43">
        <f>SQRT(D27)</f>
        <v/>
      </c>
      <c r="F27" s="44">
        <f>E27*SQRT(PARÂMETROS!B10)</f>
        <v/>
      </c>
      <c r="G27" s="44">
        <f>VaR_PARAMÉTRICO!B12*E27</f>
        <v/>
      </c>
      <c r="H27" s="57">
        <f>G27*PARÂMETROS!B24</f>
        <v/>
      </c>
    </row>
    <row r="28" ht="16" customHeight="1">
      <c r="A28" s="38" t="n">
        <v>44599</v>
      </c>
      <c r="B28" s="69">
        <f>RETORNOS_HIST!C28</f>
        <v/>
      </c>
      <c r="C28" s="42">
        <f>B28^2</f>
        <v/>
      </c>
      <c r="D28" s="42">
        <f>PARÂMETROS!B21*D27+(1-PARÂMETROS!B21)*C27</f>
        <v/>
      </c>
      <c r="E28" s="40">
        <f>SQRT(D28)</f>
        <v/>
      </c>
      <c r="F28" s="41">
        <f>E28*SQRT(PARÂMETROS!B10)</f>
        <v/>
      </c>
      <c r="G28" s="41">
        <f>VaR_PARAMÉTRICO!B12*E28</f>
        <v/>
      </c>
      <c r="H28" s="59">
        <f>G28*PARÂMETROS!B24</f>
        <v/>
      </c>
    </row>
    <row r="29" ht="16" customHeight="1">
      <c r="A29" s="35" t="n">
        <v>44600</v>
      </c>
      <c r="B29" s="68">
        <f>RETORNOS_HIST!C29</f>
        <v/>
      </c>
      <c r="C29" s="45">
        <f>B29^2</f>
        <v/>
      </c>
      <c r="D29" s="45">
        <f>PARÂMETROS!B21*D28+(1-PARÂMETROS!B21)*C28</f>
        <v/>
      </c>
      <c r="E29" s="43">
        <f>SQRT(D29)</f>
        <v/>
      </c>
      <c r="F29" s="44">
        <f>E29*SQRT(PARÂMETROS!B10)</f>
        <v/>
      </c>
      <c r="G29" s="44">
        <f>VaR_PARAMÉTRICO!B12*E29</f>
        <v/>
      </c>
      <c r="H29" s="57">
        <f>G29*PARÂMETROS!B24</f>
        <v/>
      </c>
    </row>
    <row r="30" ht="16" customHeight="1">
      <c r="A30" s="38" t="n">
        <v>44601</v>
      </c>
      <c r="B30" s="69">
        <f>RETORNOS_HIST!C30</f>
        <v/>
      </c>
      <c r="C30" s="42">
        <f>B30^2</f>
        <v/>
      </c>
      <c r="D30" s="42">
        <f>PARÂMETROS!B21*D29+(1-PARÂMETROS!B21)*C29</f>
        <v/>
      </c>
      <c r="E30" s="40">
        <f>SQRT(D30)</f>
        <v/>
      </c>
      <c r="F30" s="41">
        <f>E30*SQRT(PARÂMETROS!B10)</f>
        <v/>
      </c>
      <c r="G30" s="41">
        <f>VaR_PARAMÉTRICO!B12*E30</f>
        <v/>
      </c>
      <c r="H30" s="59">
        <f>G30*PARÂMETROS!B24</f>
        <v/>
      </c>
    </row>
    <row r="31" ht="16" customHeight="1">
      <c r="A31" s="35" t="n">
        <v>44602</v>
      </c>
      <c r="B31" s="68">
        <f>RETORNOS_HIST!C31</f>
        <v/>
      </c>
      <c r="C31" s="45">
        <f>B31^2</f>
        <v/>
      </c>
      <c r="D31" s="45">
        <f>PARÂMETROS!B21*D30+(1-PARÂMETROS!B21)*C30</f>
        <v/>
      </c>
      <c r="E31" s="43">
        <f>SQRT(D31)</f>
        <v/>
      </c>
      <c r="F31" s="44">
        <f>E31*SQRT(PARÂMETROS!B10)</f>
        <v/>
      </c>
      <c r="G31" s="44">
        <f>VaR_PARAMÉTRICO!B12*E31</f>
        <v/>
      </c>
      <c r="H31" s="57">
        <f>G31*PARÂMETROS!B24</f>
        <v/>
      </c>
    </row>
    <row r="32" ht="16" customHeight="1">
      <c r="A32" s="38" t="n">
        <v>44603</v>
      </c>
      <c r="B32" s="69">
        <f>RETORNOS_HIST!C32</f>
        <v/>
      </c>
      <c r="C32" s="42">
        <f>B32^2</f>
        <v/>
      </c>
      <c r="D32" s="42">
        <f>PARÂMETROS!B21*D31+(1-PARÂMETROS!B21)*C31</f>
        <v/>
      </c>
      <c r="E32" s="40">
        <f>SQRT(D32)</f>
        <v/>
      </c>
      <c r="F32" s="41">
        <f>E32*SQRT(PARÂMETROS!B10)</f>
        <v/>
      </c>
      <c r="G32" s="41">
        <f>VaR_PARAMÉTRICO!B12*E32</f>
        <v/>
      </c>
      <c r="H32" s="59">
        <f>G32*PARÂMETROS!B24</f>
        <v/>
      </c>
    </row>
    <row r="33" ht="16" customHeight="1">
      <c r="A33" s="35" t="n">
        <v>44606</v>
      </c>
      <c r="B33" s="68">
        <f>RETORNOS_HIST!C33</f>
        <v/>
      </c>
      <c r="C33" s="45">
        <f>B33^2</f>
        <v/>
      </c>
      <c r="D33" s="45">
        <f>PARÂMETROS!B21*D32+(1-PARÂMETROS!B21)*C32</f>
        <v/>
      </c>
      <c r="E33" s="43">
        <f>SQRT(D33)</f>
        <v/>
      </c>
      <c r="F33" s="44">
        <f>E33*SQRT(PARÂMETROS!B10)</f>
        <v/>
      </c>
      <c r="G33" s="44">
        <f>VaR_PARAMÉTRICO!B12*E33</f>
        <v/>
      </c>
      <c r="H33" s="57">
        <f>G33*PARÂMETROS!B24</f>
        <v/>
      </c>
    </row>
    <row r="34" ht="16" customHeight="1">
      <c r="A34" s="38" t="n">
        <v>44607</v>
      </c>
      <c r="B34" s="69">
        <f>RETORNOS_HIST!C34</f>
        <v/>
      </c>
      <c r="C34" s="42">
        <f>B34^2</f>
        <v/>
      </c>
      <c r="D34" s="42">
        <f>PARÂMETROS!B21*D33+(1-PARÂMETROS!B21)*C33</f>
        <v/>
      </c>
      <c r="E34" s="40">
        <f>SQRT(D34)</f>
        <v/>
      </c>
      <c r="F34" s="41">
        <f>E34*SQRT(PARÂMETROS!B10)</f>
        <v/>
      </c>
      <c r="G34" s="41">
        <f>VaR_PARAMÉTRICO!B12*E34</f>
        <v/>
      </c>
      <c r="H34" s="59">
        <f>G34*PARÂMETROS!B24</f>
        <v/>
      </c>
    </row>
    <row r="35" ht="16" customHeight="1">
      <c r="A35" s="35" t="n">
        <v>44608</v>
      </c>
      <c r="B35" s="68">
        <f>RETORNOS_HIST!C35</f>
        <v/>
      </c>
      <c r="C35" s="45">
        <f>B35^2</f>
        <v/>
      </c>
      <c r="D35" s="45">
        <f>PARÂMETROS!B21*D34+(1-PARÂMETROS!B21)*C34</f>
        <v/>
      </c>
      <c r="E35" s="43">
        <f>SQRT(D35)</f>
        <v/>
      </c>
      <c r="F35" s="44">
        <f>E35*SQRT(PARÂMETROS!B10)</f>
        <v/>
      </c>
      <c r="G35" s="44">
        <f>VaR_PARAMÉTRICO!B12*E35</f>
        <v/>
      </c>
      <c r="H35" s="57">
        <f>G35*PARÂMETROS!B24</f>
        <v/>
      </c>
    </row>
    <row r="36" ht="16" customHeight="1">
      <c r="A36" s="38" t="n">
        <v>44609</v>
      </c>
      <c r="B36" s="69">
        <f>RETORNOS_HIST!C36</f>
        <v/>
      </c>
      <c r="C36" s="42">
        <f>B36^2</f>
        <v/>
      </c>
      <c r="D36" s="42">
        <f>PARÂMETROS!B21*D35+(1-PARÂMETROS!B21)*C35</f>
        <v/>
      </c>
      <c r="E36" s="40">
        <f>SQRT(D36)</f>
        <v/>
      </c>
      <c r="F36" s="41">
        <f>E36*SQRT(PARÂMETROS!B10)</f>
        <v/>
      </c>
      <c r="G36" s="41">
        <f>VaR_PARAMÉTRICO!B12*E36</f>
        <v/>
      </c>
      <c r="H36" s="59">
        <f>G36*PARÂMETROS!B24</f>
        <v/>
      </c>
    </row>
    <row r="37" ht="16" customHeight="1">
      <c r="A37" s="35" t="n">
        <v>44610</v>
      </c>
      <c r="B37" s="68">
        <f>RETORNOS_HIST!C37</f>
        <v/>
      </c>
      <c r="C37" s="45">
        <f>B37^2</f>
        <v/>
      </c>
      <c r="D37" s="45">
        <f>PARÂMETROS!B21*D36+(1-PARÂMETROS!B21)*C36</f>
        <v/>
      </c>
      <c r="E37" s="43">
        <f>SQRT(D37)</f>
        <v/>
      </c>
      <c r="F37" s="44">
        <f>E37*SQRT(PARÂMETROS!B10)</f>
        <v/>
      </c>
      <c r="G37" s="44">
        <f>VaR_PARAMÉTRICO!B12*E37</f>
        <v/>
      </c>
      <c r="H37" s="57">
        <f>G37*PARÂMETROS!B24</f>
        <v/>
      </c>
    </row>
    <row r="38" ht="16" customHeight="1">
      <c r="A38" s="38" t="n">
        <v>44613</v>
      </c>
      <c r="B38" s="69">
        <f>RETORNOS_HIST!C38</f>
        <v/>
      </c>
      <c r="C38" s="42">
        <f>B38^2</f>
        <v/>
      </c>
      <c r="D38" s="42">
        <f>PARÂMETROS!B21*D37+(1-PARÂMETROS!B21)*C37</f>
        <v/>
      </c>
      <c r="E38" s="40">
        <f>SQRT(D38)</f>
        <v/>
      </c>
      <c r="F38" s="41">
        <f>E38*SQRT(PARÂMETROS!B10)</f>
        <v/>
      </c>
      <c r="G38" s="41">
        <f>VaR_PARAMÉTRICO!B12*E38</f>
        <v/>
      </c>
      <c r="H38" s="59">
        <f>G38*PARÂMETROS!B24</f>
        <v/>
      </c>
    </row>
    <row r="39" ht="16" customHeight="1">
      <c r="A39" s="35" t="n">
        <v>44614</v>
      </c>
      <c r="B39" s="68">
        <f>RETORNOS_HIST!C39</f>
        <v/>
      </c>
      <c r="C39" s="45">
        <f>B39^2</f>
        <v/>
      </c>
      <c r="D39" s="45">
        <f>PARÂMETROS!B21*D38+(1-PARÂMETROS!B21)*C38</f>
        <v/>
      </c>
      <c r="E39" s="43">
        <f>SQRT(D39)</f>
        <v/>
      </c>
      <c r="F39" s="44">
        <f>E39*SQRT(PARÂMETROS!B10)</f>
        <v/>
      </c>
      <c r="G39" s="44">
        <f>VaR_PARAMÉTRICO!B12*E39</f>
        <v/>
      </c>
      <c r="H39" s="57">
        <f>G39*PARÂMETROS!B24</f>
        <v/>
      </c>
    </row>
    <row r="40" ht="16" customHeight="1">
      <c r="A40" s="38" t="n">
        <v>44615</v>
      </c>
      <c r="B40" s="69">
        <f>RETORNOS_HIST!C40</f>
        <v/>
      </c>
      <c r="C40" s="42">
        <f>B40^2</f>
        <v/>
      </c>
      <c r="D40" s="42">
        <f>PARÂMETROS!B21*D39+(1-PARÂMETROS!B21)*C39</f>
        <v/>
      </c>
      <c r="E40" s="40">
        <f>SQRT(D40)</f>
        <v/>
      </c>
      <c r="F40" s="41">
        <f>E40*SQRT(PARÂMETROS!B10)</f>
        <v/>
      </c>
      <c r="G40" s="41">
        <f>VaR_PARAMÉTRICO!B12*E40</f>
        <v/>
      </c>
      <c r="H40" s="59">
        <f>G40*PARÂMETROS!B24</f>
        <v/>
      </c>
    </row>
    <row r="41" ht="16" customHeight="1">
      <c r="A41" s="35" t="n">
        <v>44616</v>
      </c>
      <c r="B41" s="68">
        <f>RETORNOS_HIST!C41</f>
        <v/>
      </c>
      <c r="C41" s="45">
        <f>B41^2</f>
        <v/>
      </c>
      <c r="D41" s="45">
        <f>PARÂMETROS!B21*D40+(1-PARÂMETROS!B21)*C40</f>
        <v/>
      </c>
      <c r="E41" s="43">
        <f>SQRT(D41)</f>
        <v/>
      </c>
      <c r="F41" s="44">
        <f>E41*SQRT(PARÂMETROS!B10)</f>
        <v/>
      </c>
      <c r="G41" s="44">
        <f>VaR_PARAMÉTRICO!B12*E41</f>
        <v/>
      </c>
      <c r="H41" s="57">
        <f>G41*PARÂMETROS!B24</f>
        <v/>
      </c>
    </row>
    <row r="42" ht="16" customHeight="1">
      <c r="A42" s="38" t="n">
        <v>44617</v>
      </c>
      <c r="B42" s="69">
        <f>RETORNOS_HIST!C42</f>
        <v/>
      </c>
      <c r="C42" s="42">
        <f>B42^2</f>
        <v/>
      </c>
      <c r="D42" s="42">
        <f>PARÂMETROS!B21*D41+(1-PARÂMETROS!B21)*C41</f>
        <v/>
      </c>
      <c r="E42" s="40">
        <f>SQRT(D42)</f>
        <v/>
      </c>
      <c r="F42" s="41">
        <f>E42*SQRT(PARÂMETROS!B10)</f>
        <v/>
      </c>
      <c r="G42" s="41">
        <f>VaR_PARAMÉTRICO!B12*E42</f>
        <v/>
      </c>
      <c r="H42" s="59">
        <f>G42*PARÂMETROS!B24</f>
        <v/>
      </c>
    </row>
    <row r="43" ht="16" customHeight="1">
      <c r="A43" s="35" t="n">
        <v>44620</v>
      </c>
      <c r="B43" s="68">
        <f>RETORNOS_HIST!C43</f>
        <v/>
      </c>
      <c r="C43" s="45">
        <f>B43^2</f>
        <v/>
      </c>
      <c r="D43" s="45">
        <f>PARÂMETROS!B21*D42+(1-PARÂMETROS!B21)*C42</f>
        <v/>
      </c>
      <c r="E43" s="43">
        <f>SQRT(D43)</f>
        <v/>
      </c>
      <c r="F43" s="44">
        <f>E43*SQRT(PARÂMETROS!B10)</f>
        <v/>
      </c>
      <c r="G43" s="44">
        <f>VaR_PARAMÉTRICO!B12*E43</f>
        <v/>
      </c>
      <c r="H43" s="57">
        <f>G43*PARÂMETROS!B24</f>
        <v/>
      </c>
    </row>
    <row r="44" ht="16" customHeight="1">
      <c r="A44" s="38" t="n">
        <v>44621</v>
      </c>
      <c r="B44" s="69">
        <f>RETORNOS_HIST!C44</f>
        <v/>
      </c>
      <c r="C44" s="42">
        <f>B44^2</f>
        <v/>
      </c>
      <c r="D44" s="42">
        <f>PARÂMETROS!B21*D43+(1-PARÂMETROS!B21)*C43</f>
        <v/>
      </c>
      <c r="E44" s="40">
        <f>SQRT(D44)</f>
        <v/>
      </c>
      <c r="F44" s="41">
        <f>E44*SQRT(PARÂMETROS!B10)</f>
        <v/>
      </c>
      <c r="G44" s="41">
        <f>VaR_PARAMÉTRICO!B12*E44</f>
        <v/>
      </c>
      <c r="H44" s="59">
        <f>G44*PARÂMETROS!B24</f>
        <v/>
      </c>
    </row>
    <row r="45" ht="16" customHeight="1">
      <c r="A45" s="35" t="n">
        <v>44622</v>
      </c>
      <c r="B45" s="68">
        <f>RETORNOS_HIST!C45</f>
        <v/>
      </c>
      <c r="C45" s="45">
        <f>B45^2</f>
        <v/>
      </c>
      <c r="D45" s="45">
        <f>PARÂMETROS!B21*D44+(1-PARÂMETROS!B21)*C44</f>
        <v/>
      </c>
      <c r="E45" s="43">
        <f>SQRT(D45)</f>
        <v/>
      </c>
      <c r="F45" s="44">
        <f>E45*SQRT(PARÂMETROS!B10)</f>
        <v/>
      </c>
      <c r="G45" s="44">
        <f>VaR_PARAMÉTRICO!B12*E45</f>
        <v/>
      </c>
      <c r="H45" s="57">
        <f>G45*PARÂMETROS!B24</f>
        <v/>
      </c>
    </row>
    <row r="46" ht="16" customHeight="1">
      <c r="A46" s="38" t="n">
        <v>44623</v>
      </c>
      <c r="B46" s="69">
        <f>RETORNOS_HIST!C46</f>
        <v/>
      </c>
      <c r="C46" s="42">
        <f>B46^2</f>
        <v/>
      </c>
      <c r="D46" s="42">
        <f>PARÂMETROS!B21*D45+(1-PARÂMETROS!B21)*C45</f>
        <v/>
      </c>
      <c r="E46" s="40">
        <f>SQRT(D46)</f>
        <v/>
      </c>
      <c r="F46" s="41">
        <f>E46*SQRT(PARÂMETROS!B10)</f>
        <v/>
      </c>
      <c r="G46" s="41">
        <f>VaR_PARAMÉTRICO!B12*E46</f>
        <v/>
      </c>
      <c r="H46" s="59">
        <f>G46*PARÂMETROS!B24</f>
        <v/>
      </c>
    </row>
    <row r="47" ht="16" customHeight="1">
      <c r="A47" s="35" t="n">
        <v>44624</v>
      </c>
      <c r="B47" s="68">
        <f>RETORNOS_HIST!C47</f>
        <v/>
      </c>
      <c r="C47" s="45">
        <f>B47^2</f>
        <v/>
      </c>
      <c r="D47" s="45">
        <f>PARÂMETROS!B21*D46+(1-PARÂMETROS!B21)*C46</f>
        <v/>
      </c>
      <c r="E47" s="43">
        <f>SQRT(D47)</f>
        <v/>
      </c>
      <c r="F47" s="44">
        <f>E47*SQRT(PARÂMETROS!B10)</f>
        <v/>
      </c>
      <c r="G47" s="44">
        <f>VaR_PARAMÉTRICO!B12*E47</f>
        <v/>
      </c>
      <c r="H47" s="57">
        <f>G47*PARÂMETROS!B24</f>
        <v/>
      </c>
    </row>
    <row r="48" ht="16" customHeight="1">
      <c r="A48" s="38" t="n">
        <v>44627</v>
      </c>
      <c r="B48" s="69">
        <f>RETORNOS_HIST!C48</f>
        <v/>
      </c>
      <c r="C48" s="42">
        <f>B48^2</f>
        <v/>
      </c>
      <c r="D48" s="42">
        <f>PARÂMETROS!B21*D47+(1-PARÂMETROS!B21)*C47</f>
        <v/>
      </c>
      <c r="E48" s="40">
        <f>SQRT(D48)</f>
        <v/>
      </c>
      <c r="F48" s="41">
        <f>E48*SQRT(PARÂMETROS!B10)</f>
        <v/>
      </c>
      <c r="G48" s="41">
        <f>VaR_PARAMÉTRICO!B12*E48</f>
        <v/>
      </c>
      <c r="H48" s="59">
        <f>G48*PARÂMETROS!B24</f>
        <v/>
      </c>
    </row>
    <row r="49" ht="16" customHeight="1">
      <c r="A49" s="35" t="n">
        <v>44628</v>
      </c>
      <c r="B49" s="68">
        <f>RETORNOS_HIST!C49</f>
        <v/>
      </c>
      <c r="C49" s="45">
        <f>B49^2</f>
        <v/>
      </c>
      <c r="D49" s="45">
        <f>PARÂMETROS!B21*D48+(1-PARÂMETROS!B21)*C48</f>
        <v/>
      </c>
      <c r="E49" s="43">
        <f>SQRT(D49)</f>
        <v/>
      </c>
      <c r="F49" s="44">
        <f>E49*SQRT(PARÂMETROS!B10)</f>
        <v/>
      </c>
      <c r="G49" s="44">
        <f>VaR_PARAMÉTRICO!B12*E49</f>
        <v/>
      </c>
      <c r="H49" s="57">
        <f>G49*PARÂMETROS!B24</f>
        <v/>
      </c>
    </row>
    <row r="50" ht="16" customHeight="1">
      <c r="A50" s="38" t="n">
        <v>44629</v>
      </c>
      <c r="B50" s="69">
        <f>RETORNOS_HIST!C50</f>
        <v/>
      </c>
      <c r="C50" s="42">
        <f>B50^2</f>
        <v/>
      </c>
      <c r="D50" s="42">
        <f>PARÂMETROS!B21*D49+(1-PARÂMETROS!B21)*C49</f>
        <v/>
      </c>
      <c r="E50" s="40">
        <f>SQRT(D50)</f>
        <v/>
      </c>
      <c r="F50" s="41">
        <f>E50*SQRT(PARÂMETROS!B10)</f>
        <v/>
      </c>
      <c r="G50" s="41">
        <f>VaR_PARAMÉTRICO!B12*E50</f>
        <v/>
      </c>
      <c r="H50" s="59">
        <f>G50*PARÂMETROS!B24</f>
        <v/>
      </c>
    </row>
    <row r="51" ht="16" customHeight="1">
      <c r="A51" s="35" t="n">
        <v>44630</v>
      </c>
      <c r="B51" s="68">
        <f>RETORNOS_HIST!C51</f>
        <v/>
      </c>
      <c r="C51" s="45">
        <f>B51^2</f>
        <v/>
      </c>
      <c r="D51" s="45">
        <f>PARÂMETROS!B21*D50+(1-PARÂMETROS!B21)*C50</f>
        <v/>
      </c>
      <c r="E51" s="43">
        <f>SQRT(D51)</f>
        <v/>
      </c>
      <c r="F51" s="44">
        <f>E51*SQRT(PARÂMETROS!B10)</f>
        <v/>
      </c>
      <c r="G51" s="44">
        <f>VaR_PARAMÉTRICO!B12*E51</f>
        <v/>
      </c>
      <c r="H51" s="57">
        <f>G51*PARÂMETROS!B24</f>
        <v/>
      </c>
    </row>
    <row r="52" ht="16" customHeight="1">
      <c r="A52" s="38" t="n">
        <v>44631</v>
      </c>
      <c r="B52" s="69">
        <f>RETORNOS_HIST!C52</f>
        <v/>
      </c>
      <c r="C52" s="42">
        <f>B52^2</f>
        <v/>
      </c>
      <c r="D52" s="42">
        <f>PARÂMETROS!B21*D51+(1-PARÂMETROS!B21)*C51</f>
        <v/>
      </c>
      <c r="E52" s="40">
        <f>SQRT(D52)</f>
        <v/>
      </c>
      <c r="F52" s="41">
        <f>E52*SQRT(PARÂMETROS!B10)</f>
        <v/>
      </c>
      <c r="G52" s="41">
        <f>VaR_PARAMÉTRICO!B12*E52</f>
        <v/>
      </c>
      <c r="H52" s="59">
        <f>G52*PARÂMETROS!B24</f>
        <v/>
      </c>
    </row>
    <row r="53" ht="16" customHeight="1">
      <c r="A53" s="35" t="n">
        <v>44634</v>
      </c>
      <c r="B53" s="68">
        <f>RETORNOS_HIST!C53</f>
        <v/>
      </c>
      <c r="C53" s="45">
        <f>B53^2</f>
        <v/>
      </c>
      <c r="D53" s="45">
        <f>PARÂMETROS!B21*D52+(1-PARÂMETROS!B21)*C52</f>
        <v/>
      </c>
      <c r="E53" s="43">
        <f>SQRT(D53)</f>
        <v/>
      </c>
      <c r="F53" s="44">
        <f>E53*SQRT(PARÂMETROS!B10)</f>
        <v/>
      </c>
      <c r="G53" s="44">
        <f>VaR_PARAMÉTRICO!B12*E53</f>
        <v/>
      </c>
      <c r="H53" s="57">
        <f>G53*PARÂMETROS!B24</f>
        <v/>
      </c>
    </row>
    <row r="54" ht="16" customHeight="1">
      <c r="A54" s="38" t="n">
        <v>44635</v>
      </c>
      <c r="B54" s="69">
        <f>RETORNOS_HIST!C54</f>
        <v/>
      </c>
      <c r="C54" s="42">
        <f>B54^2</f>
        <v/>
      </c>
      <c r="D54" s="42">
        <f>PARÂMETROS!B21*D53+(1-PARÂMETROS!B21)*C53</f>
        <v/>
      </c>
      <c r="E54" s="40">
        <f>SQRT(D54)</f>
        <v/>
      </c>
      <c r="F54" s="41">
        <f>E54*SQRT(PARÂMETROS!B10)</f>
        <v/>
      </c>
      <c r="G54" s="41">
        <f>VaR_PARAMÉTRICO!B12*E54</f>
        <v/>
      </c>
      <c r="H54" s="59">
        <f>G54*PARÂMETROS!B24</f>
        <v/>
      </c>
    </row>
    <row r="55" ht="16" customHeight="1">
      <c r="A55" s="35" t="n">
        <v>44636</v>
      </c>
      <c r="B55" s="68">
        <f>RETORNOS_HIST!C55</f>
        <v/>
      </c>
      <c r="C55" s="45">
        <f>B55^2</f>
        <v/>
      </c>
      <c r="D55" s="45">
        <f>PARÂMETROS!B21*D54+(1-PARÂMETROS!B21)*C54</f>
        <v/>
      </c>
      <c r="E55" s="43">
        <f>SQRT(D55)</f>
        <v/>
      </c>
      <c r="F55" s="44">
        <f>E55*SQRT(PARÂMETROS!B10)</f>
        <v/>
      </c>
      <c r="G55" s="44">
        <f>VaR_PARAMÉTRICO!B12*E55</f>
        <v/>
      </c>
      <c r="H55" s="57">
        <f>G55*PARÂMETROS!B24</f>
        <v/>
      </c>
    </row>
    <row r="56" ht="16" customHeight="1">
      <c r="A56" s="38" t="n">
        <v>44637</v>
      </c>
      <c r="B56" s="69">
        <f>RETORNOS_HIST!C56</f>
        <v/>
      </c>
      <c r="C56" s="42">
        <f>B56^2</f>
        <v/>
      </c>
      <c r="D56" s="42">
        <f>PARÂMETROS!B21*D55+(1-PARÂMETROS!B21)*C55</f>
        <v/>
      </c>
      <c r="E56" s="40">
        <f>SQRT(D56)</f>
        <v/>
      </c>
      <c r="F56" s="41">
        <f>E56*SQRT(PARÂMETROS!B10)</f>
        <v/>
      </c>
      <c r="G56" s="41">
        <f>VaR_PARAMÉTRICO!B12*E56</f>
        <v/>
      </c>
      <c r="H56" s="59">
        <f>G56*PARÂMETROS!B24</f>
        <v/>
      </c>
    </row>
    <row r="57" ht="16" customHeight="1">
      <c r="A57" s="35" t="n">
        <v>44638</v>
      </c>
      <c r="B57" s="68">
        <f>RETORNOS_HIST!C57</f>
        <v/>
      </c>
      <c r="C57" s="45">
        <f>B57^2</f>
        <v/>
      </c>
      <c r="D57" s="45">
        <f>PARÂMETROS!B21*D56+(1-PARÂMETROS!B21)*C56</f>
        <v/>
      </c>
      <c r="E57" s="43">
        <f>SQRT(D57)</f>
        <v/>
      </c>
      <c r="F57" s="44">
        <f>E57*SQRT(PARÂMETROS!B10)</f>
        <v/>
      </c>
      <c r="G57" s="44">
        <f>VaR_PARAMÉTRICO!B12*E57</f>
        <v/>
      </c>
      <c r="H57" s="57">
        <f>G57*PARÂMETROS!B24</f>
        <v/>
      </c>
    </row>
    <row r="58" ht="16" customHeight="1">
      <c r="A58" s="38" t="n">
        <v>44641</v>
      </c>
      <c r="B58" s="69">
        <f>RETORNOS_HIST!C58</f>
        <v/>
      </c>
      <c r="C58" s="42">
        <f>B58^2</f>
        <v/>
      </c>
      <c r="D58" s="42">
        <f>PARÂMETROS!B21*D57+(1-PARÂMETROS!B21)*C57</f>
        <v/>
      </c>
      <c r="E58" s="40">
        <f>SQRT(D58)</f>
        <v/>
      </c>
      <c r="F58" s="41">
        <f>E58*SQRT(PARÂMETROS!B10)</f>
        <v/>
      </c>
      <c r="G58" s="41">
        <f>VaR_PARAMÉTRICO!B12*E58</f>
        <v/>
      </c>
      <c r="H58" s="59">
        <f>G58*PARÂMETROS!B24</f>
        <v/>
      </c>
    </row>
    <row r="59" ht="16" customHeight="1">
      <c r="A59" s="35" t="n">
        <v>44642</v>
      </c>
      <c r="B59" s="68">
        <f>RETORNOS_HIST!C59</f>
        <v/>
      </c>
      <c r="C59" s="45">
        <f>B59^2</f>
        <v/>
      </c>
      <c r="D59" s="45">
        <f>PARÂMETROS!B21*D58+(1-PARÂMETROS!B21)*C58</f>
        <v/>
      </c>
      <c r="E59" s="43">
        <f>SQRT(D59)</f>
        <v/>
      </c>
      <c r="F59" s="44">
        <f>E59*SQRT(PARÂMETROS!B10)</f>
        <v/>
      </c>
      <c r="G59" s="44">
        <f>VaR_PARAMÉTRICO!B12*E59</f>
        <v/>
      </c>
      <c r="H59" s="57">
        <f>G59*PARÂMETROS!B24</f>
        <v/>
      </c>
    </row>
    <row r="60" ht="16" customHeight="1">
      <c r="A60" s="38" t="n">
        <v>44643</v>
      </c>
      <c r="B60" s="69">
        <f>RETORNOS_HIST!C60</f>
        <v/>
      </c>
      <c r="C60" s="42">
        <f>B60^2</f>
        <v/>
      </c>
      <c r="D60" s="42">
        <f>PARÂMETROS!B21*D59+(1-PARÂMETROS!B21)*C59</f>
        <v/>
      </c>
      <c r="E60" s="40">
        <f>SQRT(D60)</f>
        <v/>
      </c>
      <c r="F60" s="41">
        <f>E60*SQRT(PARÂMETROS!B10)</f>
        <v/>
      </c>
      <c r="G60" s="41">
        <f>VaR_PARAMÉTRICO!B12*E60</f>
        <v/>
      </c>
      <c r="H60" s="59">
        <f>G60*PARÂMETROS!B24</f>
        <v/>
      </c>
    </row>
    <row r="61" ht="16" customHeight="1">
      <c r="A61" s="35" t="n">
        <v>44644</v>
      </c>
      <c r="B61" s="68">
        <f>RETORNOS_HIST!C61</f>
        <v/>
      </c>
      <c r="C61" s="45">
        <f>B61^2</f>
        <v/>
      </c>
      <c r="D61" s="45">
        <f>PARÂMETROS!B21*D60+(1-PARÂMETROS!B21)*C60</f>
        <v/>
      </c>
      <c r="E61" s="43">
        <f>SQRT(D61)</f>
        <v/>
      </c>
      <c r="F61" s="44">
        <f>E61*SQRT(PARÂMETROS!B10)</f>
        <v/>
      </c>
      <c r="G61" s="44">
        <f>VaR_PARAMÉTRICO!B12*E61</f>
        <v/>
      </c>
      <c r="H61" s="57">
        <f>G61*PARÂMETROS!B24</f>
        <v/>
      </c>
    </row>
    <row r="62" ht="16" customHeight="1">
      <c r="A62" s="38" t="n">
        <v>44645</v>
      </c>
      <c r="B62" s="69">
        <f>RETORNOS_HIST!C62</f>
        <v/>
      </c>
      <c r="C62" s="42">
        <f>B62^2</f>
        <v/>
      </c>
      <c r="D62" s="42">
        <f>PARÂMETROS!B21*D61+(1-PARÂMETROS!B21)*C61</f>
        <v/>
      </c>
      <c r="E62" s="40">
        <f>SQRT(D62)</f>
        <v/>
      </c>
      <c r="F62" s="41">
        <f>E62*SQRT(PARÂMETROS!B10)</f>
        <v/>
      </c>
      <c r="G62" s="41">
        <f>VaR_PARAMÉTRICO!B12*E62</f>
        <v/>
      </c>
      <c r="H62" s="59">
        <f>G62*PARÂMETROS!B24</f>
        <v/>
      </c>
    </row>
    <row r="63" ht="16" customHeight="1">
      <c r="A63" s="35" t="n">
        <v>44648</v>
      </c>
      <c r="B63" s="68">
        <f>RETORNOS_HIST!C63</f>
        <v/>
      </c>
      <c r="C63" s="45">
        <f>B63^2</f>
        <v/>
      </c>
      <c r="D63" s="45">
        <f>PARÂMETROS!B21*D62+(1-PARÂMETROS!B21)*C62</f>
        <v/>
      </c>
      <c r="E63" s="43">
        <f>SQRT(D63)</f>
        <v/>
      </c>
      <c r="F63" s="44">
        <f>E63*SQRT(PARÂMETROS!B10)</f>
        <v/>
      </c>
      <c r="G63" s="44">
        <f>VaR_PARAMÉTRICO!B12*E63</f>
        <v/>
      </c>
      <c r="H63" s="57">
        <f>G63*PARÂMETROS!B24</f>
        <v/>
      </c>
    </row>
    <row r="64" ht="16" customHeight="1">
      <c r="A64" s="38" t="n">
        <v>44649</v>
      </c>
      <c r="B64" s="69">
        <f>RETORNOS_HIST!C64</f>
        <v/>
      </c>
      <c r="C64" s="42">
        <f>B64^2</f>
        <v/>
      </c>
      <c r="D64" s="42">
        <f>PARÂMETROS!B21*D63+(1-PARÂMETROS!B21)*C63</f>
        <v/>
      </c>
      <c r="E64" s="40">
        <f>SQRT(D64)</f>
        <v/>
      </c>
      <c r="F64" s="41">
        <f>E64*SQRT(PARÂMETROS!B10)</f>
        <v/>
      </c>
      <c r="G64" s="41">
        <f>VaR_PARAMÉTRICO!B12*E64</f>
        <v/>
      </c>
      <c r="H64" s="59">
        <f>G64*PARÂMETROS!B24</f>
        <v/>
      </c>
    </row>
    <row r="65" ht="16" customHeight="1">
      <c r="A65" s="35" t="n">
        <v>44650</v>
      </c>
      <c r="B65" s="68">
        <f>RETORNOS_HIST!C65</f>
        <v/>
      </c>
      <c r="C65" s="45">
        <f>B65^2</f>
        <v/>
      </c>
      <c r="D65" s="45">
        <f>PARÂMETROS!B21*D64+(1-PARÂMETROS!B21)*C64</f>
        <v/>
      </c>
      <c r="E65" s="43">
        <f>SQRT(D65)</f>
        <v/>
      </c>
      <c r="F65" s="44">
        <f>E65*SQRT(PARÂMETROS!B10)</f>
        <v/>
      </c>
      <c r="G65" s="44">
        <f>VaR_PARAMÉTRICO!B12*E65</f>
        <v/>
      </c>
      <c r="H65" s="57">
        <f>G65*PARÂMETROS!B24</f>
        <v/>
      </c>
    </row>
    <row r="66" ht="16" customHeight="1">
      <c r="A66" s="38" t="n">
        <v>44651</v>
      </c>
      <c r="B66" s="69">
        <f>RETORNOS_HIST!C66</f>
        <v/>
      </c>
      <c r="C66" s="42">
        <f>B66^2</f>
        <v/>
      </c>
      <c r="D66" s="42">
        <f>PARÂMETROS!B21*D65+(1-PARÂMETROS!B21)*C65</f>
        <v/>
      </c>
      <c r="E66" s="40">
        <f>SQRT(D66)</f>
        <v/>
      </c>
      <c r="F66" s="41">
        <f>E66*SQRT(PARÂMETROS!B10)</f>
        <v/>
      </c>
      <c r="G66" s="41">
        <f>VaR_PARAMÉTRICO!B12*E66</f>
        <v/>
      </c>
      <c r="H66" s="59">
        <f>G66*PARÂMETROS!B24</f>
        <v/>
      </c>
    </row>
    <row r="67" ht="16" customHeight="1">
      <c r="A67" s="35" t="n">
        <v>44652</v>
      </c>
      <c r="B67" s="68">
        <f>RETORNOS_HIST!C67</f>
        <v/>
      </c>
      <c r="C67" s="45">
        <f>B67^2</f>
        <v/>
      </c>
      <c r="D67" s="45">
        <f>PARÂMETROS!B21*D66+(1-PARÂMETROS!B21)*C66</f>
        <v/>
      </c>
      <c r="E67" s="43">
        <f>SQRT(D67)</f>
        <v/>
      </c>
      <c r="F67" s="44">
        <f>E67*SQRT(PARÂMETROS!B10)</f>
        <v/>
      </c>
      <c r="G67" s="44">
        <f>VaR_PARAMÉTRICO!B12*E67</f>
        <v/>
      </c>
      <c r="H67" s="57">
        <f>G67*PARÂMETROS!B24</f>
        <v/>
      </c>
    </row>
    <row r="68" ht="16" customHeight="1">
      <c r="A68" s="38" t="n">
        <v>44655</v>
      </c>
      <c r="B68" s="69">
        <f>RETORNOS_HIST!C68</f>
        <v/>
      </c>
      <c r="C68" s="42">
        <f>B68^2</f>
        <v/>
      </c>
      <c r="D68" s="42">
        <f>PARÂMETROS!B21*D67+(1-PARÂMETROS!B21)*C67</f>
        <v/>
      </c>
      <c r="E68" s="40">
        <f>SQRT(D68)</f>
        <v/>
      </c>
      <c r="F68" s="41">
        <f>E68*SQRT(PARÂMETROS!B10)</f>
        <v/>
      </c>
      <c r="G68" s="41">
        <f>VaR_PARAMÉTRICO!B12*E68</f>
        <v/>
      </c>
      <c r="H68" s="59">
        <f>G68*PARÂMETROS!B24</f>
        <v/>
      </c>
    </row>
    <row r="69" ht="16" customHeight="1">
      <c r="A69" s="35" t="n">
        <v>44656</v>
      </c>
      <c r="B69" s="68">
        <f>RETORNOS_HIST!C69</f>
        <v/>
      </c>
      <c r="C69" s="45">
        <f>B69^2</f>
        <v/>
      </c>
      <c r="D69" s="45">
        <f>PARÂMETROS!B21*D68+(1-PARÂMETROS!B21)*C68</f>
        <v/>
      </c>
      <c r="E69" s="43">
        <f>SQRT(D69)</f>
        <v/>
      </c>
      <c r="F69" s="44">
        <f>E69*SQRT(PARÂMETROS!B10)</f>
        <v/>
      </c>
      <c r="G69" s="44">
        <f>VaR_PARAMÉTRICO!B12*E69</f>
        <v/>
      </c>
      <c r="H69" s="57">
        <f>G69*PARÂMETROS!B24</f>
        <v/>
      </c>
    </row>
    <row r="70" ht="16" customHeight="1">
      <c r="A70" s="38" t="n">
        <v>44657</v>
      </c>
      <c r="B70" s="69">
        <f>RETORNOS_HIST!C70</f>
        <v/>
      </c>
      <c r="C70" s="42">
        <f>B70^2</f>
        <v/>
      </c>
      <c r="D70" s="42">
        <f>PARÂMETROS!B21*D69+(1-PARÂMETROS!B21)*C69</f>
        <v/>
      </c>
      <c r="E70" s="40">
        <f>SQRT(D70)</f>
        <v/>
      </c>
      <c r="F70" s="41">
        <f>E70*SQRT(PARÂMETROS!B10)</f>
        <v/>
      </c>
      <c r="G70" s="41">
        <f>VaR_PARAMÉTRICO!B12*E70</f>
        <v/>
      </c>
      <c r="H70" s="59">
        <f>G70*PARÂMETROS!B24</f>
        <v/>
      </c>
    </row>
    <row r="71" ht="16" customHeight="1">
      <c r="A71" s="35" t="n">
        <v>44658</v>
      </c>
      <c r="B71" s="68">
        <f>RETORNOS_HIST!C71</f>
        <v/>
      </c>
      <c r="C71" s="45">
        <f>B71^2</f>
        <v/>
      </c>
      <c r="D71" s="45">
        <f>PARÂMETROS!B21*D70+(1-PARÂMETROS!B21)*C70</f>
        <v/>
      </c>
      <c r="E71" s="43">
        <f>SQRT(D71)</f>
        <v/>
      </c>
      <c r="F71" s="44">
        <f>E71*SQRT(PARÂMETROS!B10)</f>
        <v/>
      </c>
      <c r="G71" s="44">
        <f>VaR_PARAMÉTRICO!B12*E71</f>
        <v/>
      </c>
      <c r="H71" s="57">
        <f>G71*PARÂMETROS!B24</f>
        <v/>
      </c>
    </row>
    <row r="72" ht="16" customHeight="1">
      <c r="A72" s="38" t="n">
        <v>44659</v>
      </c>
      <c r="B72" s="69">
        <f>RETORNOS_HIST!C72</f>
        <v/>
      </c>
      <c r="C72" s="42">
        <f>B72^2</f>
        <v/>
      </c>
      <c r="D72" s="42">
        <f>PARÂMETROS!B21*D71+(1-PARÂMETROS!B21)*C71</f>
        <v/>
      </c>
      <c r="E72" s="40">
        <f>SQRT(D72)</f>
        <v/>
      </c>
      <c r="F72" s="41">
        <f>E72*SQRT(PARÂMETROS!B10)</f>
        <v/>
      </c>
      <c r="G72" s="41">
        <f>VaR_PARAMÉTRICO!B12*E72</f>
        <v/>
      </c>
      <c r="H72" s="59">
        <f>G72*PARÂMETROS!B24</f>
        <v/>
      </c>
    </row>
    <row r="73" ht="16" customHeight="1">
      <c r="A73" s="35" t="n">
        <v>44662</v>
      </c>
      <c r="B73" s="68">
        <f>RETORNOS_HIST!C73</f>
        <v/>
      </c>
      <c r="C73" s="45">
        <f>B73^2</f>
        <v/>
      </c>
      <c r="D73" s="45">
        <f>PARÂMETROS!B21*D72+(1-PARÂMETROS!B21)*C72</f>
        <v/>
      </c>
      <c r="E73" s="43">
        <f>SQRT(D73)</f>
        <v/>
      </c>
      <c r="F73" s="44">
        <f>E73*SQRT(PARÂMETROS!B10)</f>
        <v/>
      </c>
      <c r="G73" s="44">
        <f>VaR_PARAMÉTRICO!B12*E73</f>
        <v/>
      </c>
      <c r="H73" s="57">
        <f>G73*PARÂMETROS!B24</f>
        <v/>
      </c>
    </row>
    <row r="74" ht="16" customHeight="1">
      <c r="A74" s="38" t="n">
        <v>44663</v>
      </c>
      <c r="B74" s="69">
        <f>RETORNOS_HIST!C74</f>
        <v/>
      </c>
      <c r="C74" s="42">
        <f>B74^2</f>
        <v/>
      </c>
      <c r="D74" s="42">
        <f>PARÂMETROS!B21*D73+(1-PARÂMETROS!B21)*C73</f>
        <v/>
      </c>
      <c r="E74" s="40">
        <f>SQRT(D74)</f>
        <v/>
      </c>
      <c r="F74" s="41">
        <f>E74*SQRT(PARÂMETROS!B10)</f>
        <v/>
      </c>
      <c r="G74" s="41">
        <f>VaR_PARAMÉTRICO!B12*E74</f>
        <v/>
      </c>
      <c r="H74" s="59">
        <f>G74*PARÂMETROS!B24</f>
        <v/>
      </c>
    </row>
    <row r="75" ht="16" customHeight="1">
      <c r="A75" s="35" t="n">
        <v>44664</v>
      </c>
      <c r="B75" s="68">
        <f>RETORNOS_HIST!C75</f>
        <v/>
      </c>
      <c r="C75" s="45">
        <f>B75^2</f>
        <v/>
      </c>
      <c r="D75" s="45">
        <f>PARÂMETROS!B21*D74+(1-PARÂMETROS!B21)*C74</f>
        <v/>
      </c>
      <c r="E75" s="43">
        <f>SQRT(D75)</f>
        <v/>
      </c>
      <c r="F75" s="44">
        <f>E75*SQRT(PARÂMETROS!B10)</f>
        <v/>
      </c>
      <c r="G75" s="44">
        <f>VaR_PARAMÉTRICO!B12*E75</f>
        <v/>
      </c>
      <c r="H75" s="57">
        <f>G75*PARÂMETROS!B24</f>
        <v/>
      </c>
    </row>
    <row r="76" ht="16" customHeight="1">
      <c r="A76" s="38" t="n">
        <v>44665</v>
      </c>
      <c r="B76" s="69">
        <f>RETORNOS_HIST!C76</f>
        <v/>
      </c>
      <c r="C76" s="42">
        <f>B76^2</f>
        <v/>
      </c>
      <c r="D76" s="42">
        <f>PARÂMETROS!B21*D75+(1-PARÂMETROS!B21)*C75</f>
        <v/>
      </c>
      <c r="E76" s="40">
        <f>SQRT(D76)</f>
        <v/>
      </c>
      <c r="F76" s="41">
        <f>E76*SQRT(PARÂMETROS!B10)</f>
        <v/>
      </c>
      <c r="G76" s="41">
        <f>VaR_PARAMÉTRICO!B12*E76</f>
        <v/>
      </c>
      <c r="H76" s="59">
        <f>G76*PARÂMETROS!B24</f>
        <v/>
      </c>
    </row>
    <row r="77" ht="16" customHeight="1">
      <c r="A77" s="35" t="n">
        <v>44666</v>
      </c>
      <c r="B77" s="68">
        <f>RETORNOS_HIST!C77</f>
        <v/>
      </c>
      <c r="C77" s="45">
        <f>B77^2</f>
        <v/>
      </c>
      <c r="D77" s="45">
        <f>PARÂMETROS!B21*D76+(1-PARÂMETROS!B21)*C76</f>
        <v/>
      </c>
      <c r="E77" s="43">
        <f>SQRT(D77)</f>
        <v/>
      </c>
      <c r="F77" s="44">
        <f>E77*SQRT(PARÂMETROS!B10)</f>
        <v/>
      </c>
      <c r="G77" s="44">
        <f>VaR_PARAMÉTRICO!B12*E77</f>
        <v/>
      </c>
      <c r="H77" s="57">
        <f>G77*PARÂMETROS!B24</f>
        <v/>
      </c>
    </row>
    <row r="78" ht="16" customHeight="1">
      <c r="A78" s="38" t="n">
        <v>44669</v>
      </c>
      <c r="B78" s="69">
        <f>RETORNOS_HIST!C78</f>
        <v/>
      </c>
      <c r="C78" s="42">
        <f>B78^2</f>
        <v/>
      </c>
      <c r="D78" s="42">
        <f>PARÂMETROS!B21*D77+(1-PARÂMETROS!B21)*C77</f>
        <v/>
      </c>
      <c r="E78" s="40">
        <f>SQRT(D78)</f>
        <v/>
      </c>
      <c r="F78" s="41">
        <f>E78*SQRT(PARÂMETROS!B10)</f>
        <v/>
      </c>
      <c r="G78" s="41">
        <f>VaR_PARAMÉTRICO!B12*E78</f>
        <v/>
      </c>
      <c r="H78" s="59">
        <f>G78*PARÂMETROS!B24</f>
        <v/>
      </c>
    </row>
    <row r="79" ht="16" customHeight="1">
      <c r="A79" s="35" t="n">
        <v>44670</v>
      </c>
      <c r="B79" s="68">
        <f>RETORNOS_HIST!C79</f>
        <v/>
      </c>
      <c r="C79" s="45">
        <f>B79^2</f>
        <v/>
      </c>
      <c r="D79" s="45">
        <f>PARÂMETROS!B21*D78+(1-PARÂMETROS!B21)*C78</f>
        <v/>
      </c>
      <c r="E79" s="43">
        <f>SQRT(D79)</f>
        <v/>
      </c>
      <c r="F79" s="44">
        <f>E79*SQRT(PARÂMETROS!B10)</f>
        <v/>
      </c>
      <c r="G79" s="44">
        <f>VaR_PARAMÉTRICO!B12*E79</f>
        <v/>
      </c>
      <c r="H79" s="57">
        <f>G79*PARÂMETROS!B24</f>
        <v/>
      </c>
    </row>
    <row r="80" ht="16" customHeight="1">
      <c r="A80" s="38" t="n">
        <v>44671</v>
      </c>
      <c r="B80" s="69">
        <f>RETORNOS_HIST!C80</f>
        <v/>
      </c>
      <c r="C80" s="42">
        <f>B80^2</f>
        <v/>
      </c>
      <c r="D80" s="42">
        <f>PARÂMETROS!B21*D79+(1-PARÂMETROS!B21)*C79</f>
        <v/>
      </c>
      <c r="E80" s="40">
        <f>SQRT(D80)</f>
        <v/>
      </c>
      <c r="F80" s="41">
        <f>E80*SQRT(PARÂMETROS!B10)</f>
        <v/>
      </c>
      <c r="G80" s="41">
        <f>VaR_PARAMÉTRICO!B12*E80</f>
        <v/>
      </c>
      <c r="H80" s="59">
        <f>G80*PARÂMETROS!B24</f>
        <v/>
      </c>
    </row>
    <row r="81" ht="16" customHeight="1">
      <c r="A81" s="35" t="n">
        <v>44672</v>
      </c>
      <c r="B81" s="68">
        <f>RETORNOS_HIST!C81</f>
        <v/>
      </c>
      <c r="C81" s="45">
        <f>B81^2</f>
        <v/>
      </c>
      <c r="D81" s="45">
        <f>PARÂMETROS!B21*D80+(1-PARÂMETROS!B21)*C80</f>
        <v/>
      </c>
      <c r="E81" s="43">
        <f>SQRT(D81)</f>
        <v/>
      </c>
      <c r="F81" s="44">
        <f>E81*SQRT(PARÂMETROS!B10)</f>
        <v/>
      </c>
      <c r="G81" s="44">
        <f>VaR_PARAMÉTRICO!B12*E81</f>
        <v/>
      </c>
      <c r="H81" s="57">
        <f>G81*PARÂMETROS!B24</f>
        <v/>
      </c>
    </row>
    <row r="82" ht="16" customHeight="1">
      <c r="A82" s="38" t="n">
        <v>44673</v>
      </c>
      <c r="B82" s="69">
        <f>RETORNOS_HIST!C82</f>
        <v/>
      </c>
      <c r="C82" s="42">
        <f>B82^2</f>
        <v/>
      </c>
      <c r="D82" s="42">
        <f>PARÂMETROS!B21*D81+(1-PARÂMETROS!B21)*C81</f>
        <v/>
      </c>
      <c r="E82" s="40">
        <f>SQRT(D82)</f>
        <v/>
      </c>
      <c r="F82" s="41">
        <f>E82*SQRT(PARÂMETROS!B10)</f>
        <v/>
      </c>
      <c r="G82" s="41">
        <f>VaR_PARAMÉTRICO!B12*E82</f>
        <v/>
      </c>
      <c r="H82" s="59">
        <f>G82*PARÂMETROS!B24</f>
        <v/>
      </c>
    </row>
    <row r="83" ht="16" customHeight="1">
      <c r="A83" s="35" t="n">
        <v>44676</v>
      </c>
      <c r="B83" s="68">
        <f>RETORNOS_HIST!C83</f>
        <v/>
      </c>
      <c r="C83" s="45">
        <f>B83^2</f>
        <v/>
      </c>
      <c r="D83" s="45">
        <f>PARÂMETROS!B21*D82+(1-PARÂMETROS!B21)*C82</f>
        <v/>
      </c>
      <c r="E83" s="43">
        <f>SQRT(D83)</f>
        <v/>
      </c>
      <c r="F83" s="44">
        <f>E83*SQRT(PARÂMETROS!B10)</f>
        <v/>
      </c>
      <c r="G83" s="44">
        <f>VaR_PARAMÉTRICO!B12*E83</f>
        <v/>
      </c>
      <c r="H83" s="57">
        <f>G83*PARÂMETROS!B24</f>
        <v/>
      </c>
    </row>
    <row r="84" ht="16" customHeight="1">
      <c r="A84" s="38" t="n">
        <v>44677</v>
      </c>
      <c r="B84" s="69">
        <f>RETORNOS_HIST!C84</f>
        <v/>
      </c>
      <c r="C84" s="42">
        <f>B84^2</f>
        <v/>
      </c>
      <c r="D84" s="42">
        <f>PARÂMETROS!B21*D83+(1-PARÂMETROS!B21)*C83</f>
        <v/>
      </c>
      <c r="E84" s="40">
        <f>SQRT(D84)</f>
        <v/>
      </c>
      <c r="F84" s="41">
        <f>E84*SQRT(PARÂMETROS!B10)</f>
        <v/>
      </c>
      <c r="G84" s="41">
        <f>VaR_PARAMÉTRICO!B12*E84</f>
        <v/>
      </c>
      <c r="H84" s="59">
        <f>G84*PARÂMETROS!B24</f>
        <v/>
      </c>
    </row>
    <row r="85" ht="16" customHeight="1">
      <c r="A85" s="35" t="n">
        <v>44678</v>
      </c>
      <c r="B85" s="68">
        <f>RETORNOS_HIST!C85</f>
        <v/>
      </c>
      <c r="C85" s="45">
        <f>B85^2</f>
        <v/>
      </c>
      <c r="D85" s="45">
        <f>PARÂMETROS!B21*D84+(1-PARÂMETROS!B21)*C84</f>
        <v/>
      </c>
      <c r="E85" s="43">
        <f>SQRT(D85)</f>
        <v/>
      </c>
      <c r="F85" s="44">
        <f>E85*SQRT(PARÂMETROS!B10)</f>
        <v/>
      </c>
      <c r="G85" s="44">
        <f>VaR_PARAMÉTRICO!B12*E85</f>
        <v/>
      </c>
      <c r="H85" s="57">
        <f>G85*PARÂMETROS!B24</f>
        <v/>
      </c>
    </row>
    <row r="86" ht="16" customHeight="1">
      <c r="A86" s="38" t="n">
        <v>44679</v>
      </c>
      <c r="B86" s="69">
        <f>RETORNOS_HIST!C86</f>
        <v/>
      </c>
      <c r="C86" s="42">
        <f>B86^2</f>
        <v/>
      </c>
      <c r="D86" s="42">
        <f>PARÂMETROS!B21*D85+(1-PARÂMETROS!B21)*C85</f>
        <v/>
      </c>
      <c r="E86" s="40">
        <f>SQRT(D86)</f>
        <v/>
      </c>
      <c r="F86" s="41">
        <f>E86*SQRT(PARÂMETROS!B10)</f>
        <v/>
      </c>
      <c r="G86" s="41">
        <f>VaR_PARAMÉTRICO!B12*E86</f>
        <v/>
      </c>
      <c r="H86" s="59">
        <f>G86*PARÂMETROS!B24</f>
        <v/>
      </c>
    </row>
    <row r="87" ht="16" customHeight="1">
      <c r="A87" s="35" t="n">
        <v>44680</v>
      </c>
      <c r="B87" s="68">
        <f>RETORNOS_HIST!C87</f>
        <v/>
      </c>
      <c r="C87" s="45">
        <f>B87^2</f>
        <v/>
      </c>
      <c r="D87" s="45">
        <f>PARÂMETROS!B21*D86+(1-PARÂMETROS!B21)*C86</f>
        <v/>
      </c>
      <c r="E87" s="43">
        <f>SQRT(D87)</f>
        <v/>
      </c>
      <c r="F87" s="44">
        <f>E87*SQRT(PARÂMETROS!B10)</f>
        <v/>
      </c>
      <c r="G87" s="44">
        <f>VaR_PARAMÉTRICO!B12*E87</f>
        <v/>
      </c>
      <c r="H87" s="57">
        <f>G87*PARÂMETROS!B24</f>
        <v/>
      </c>
    </row>
    <row r="88" ht="16" customHeight="1">
      <c r="A88" s="38" t="n">
        <v>44683</v>
      </c>
      <c r="B88" s="69">
        <f>RETORNOS_HIST!C88</f>
        <v/>
      </c>
      <c r="C88" s="42">
        <f>B88^2</f>
        <v/>
      </c>
      <c r="D88" s="42">
        <f>PARÂMETROS!B21*D87+(1-PARÂMETROS!B21)*C87</f>
        <v/>
      </c>
      <c r="E88" s="40">
        <f>SQRT(D88)</f>
        <v/>
      </c>
      <c r="F88" s="41">
        <f>E88*SQRT(PARÂMETROS!B10)</f>
        <v/>
      </c>
      <c r="G88" s="41">
        <f>VaR_PARAMÉTRICO!B12*E88</f>
        <v/>
      </c>
      <c r="H88" s="59">
        <f>G88*PARÂMETROS!B24</f>
        <v/>
      </c>
    </row>
    <row r="89" ht="16" customHeight="1">
      <c r="A89" s="35" t="n">
        <v>44684</v>
      </c>
      <c r="B89" s="68">
        <f>RETORNOS_HIST!C89</f>
        <v/>
      </c>
      <c r="C89" s="45">
        <f>B89^2</f>
        <v/>
      </c>
      <c r="D89" s="45">
        <f>PARÂMETROS!B21*D88+(1-PARÂMETROS!B21)*C88</f>
        <v/>
      </c>
      <c r="E89" s="43">
        <f>SQRT(D89)</f>
        <v/>
      </c>
      <c r="F89" s="44">
        <f>E89*SQRT(PARÂMETROS!B10)</f>
        <v/>
      </c>
      <c r="G89" s="44">
        <f>VaR_PARAMÉTRICO!B12*E89</f>
        <v/>
      </c>
      <c r="H89" s="57">
        <f>G89*PARÂMETROS!B24</f>
        <v/>
      </c>
    </row>
    <row r="90" ht="16" customHeight="1">
      <c r="A90" s="38" t="n">
        <v>44685</v>
      </c>
      <c r="B90" s="69">
        <f>RETORNOS_HIST!C90</f>
        <v/>
      </c>
      <c r="C90" s="42">
        <f>B90^2</f>
        <v/>
      </c>
      <c r="D90" s="42">
        <f>PARÂMETROS!B21*D89+(1-PARÂMETROS!B21)*C89</f>
        <v/>
      </c>
      <c r="E90" s="40">
        <f>SQRT(D90)</f>
        <v/>
      </c>
      <c r="F90" s="41">
        <f>E90*SQRT(PARÂMETROS!B10)</f>
        <v/>
      </c>
      <c r="G90" s="41">
        <f>VaR_PARAMÉTRICO!B12*E90</f>
        <v/>
      </c>
      <c r="H90" s="59">
        <f>G90*PARÂMETROS!B24</f>
        <v/>
      </c>
    </row>
    <row r="91" ht="16" customHeight="1">
      <c r="A91" s="35" t="n">
        <v>44686</v>
      </c>
      <c r="B91" s="68">
        <f>RETORNOS_HIST!C91</f>
        <v/>
      </c>
      <c r="C91" s="45">
        <f>B91^2</f>
        <v/>
      </c>
      <c r="D91" s="45">
        <f>PARÂMETROS!B21*D90+(1-PARÂMETROS!B21)*C90</f>
        <v/>
      </c>
      <c r="E91" s="43">
        <f>SQRT(D91)</f>
        <v/>
      </c>
      <c r="F91" s="44">
        <f>E91*SQRT(PARÂMETROS!B10)</f>
        <v/>
      </c>
      <c r="G91" s="44">
        <f>VaR_PARAMÉTRICO!B12*E91</f>
        <v/>
      </c>
      <c r="H91" s="57">
        <f>G91*PARÂMETROS!B24</f>
        <v/>
      </c>
    </row>
    <row r="92" ht="16" customHeight="1">
      <c r="A92" s="38" t="n">
        <v>44687</v>
      </c>
      <c r="B92" s="69">
        <f>RETORNOS_HIST!C92</f>
        <v/>
      </c>
      <c r="C92" s="42">
        <f>B92^2</f>
        <v/>
      </c>
      <c r="D92" s="42">
        <f>PARÂMETROS!B21*D91+(1-PARÂMETROS!B21)*C91</f>
        <v/>
      </c>
      <c r="E92" s="40">
        <f>SQRT(D92)</f>
        <v/>
      </c>
      <c r="F92" s="41">
        <f>E92*SQRT(PARÂMETROS!B10)</f>
        <v/>
      </c>
      <c r="G92" s="41">
        <f>VaR_PARAMÉTRICO!B12*E92</f>
        <v/>
      </c>
      <c r="H92" s="59">
        <f>G92*PARÂMETROS!B24</f>
        <v/>
      </c>
    </row>
    <row r="93" ht="16" customHeight="1">
      <c r="A93" s="35" t="n">
        <v>44690</v>
      </c>
      <c r="B93" s="68">
        <f>RETORNOS_HIST!C93</f>
        <v/>
      </c>
      <c r="C93" s="45">
        <f>B93^2</f>
        <v/>
      </c>
      <c r="D93" s="45">
        <f>PARÂMETROS!B21*D92+(1-PARÂMETROS!B21)*C92</f>
        <v/>
      </c>
      <c r="E93" s="43">
        <f>SQRT(D93)</f>
        <v/>
      </c>
      <c r="F93" s="44">
        <f>E93*SQRT(PARÂMETROS!B10)</f>
        <v/>
      </c>
      <c r="G93" s="44">
        <f>VaR_PARAMÉTRICO!B12*E93</f>
        <v/>
      </c>
      <c r="H93" s="57">
        <f>G93*PARÂMETROS!B24</f>
        <v/>
      </c>
    </row>
    <row r="94" ht="16" customHeight="1">
      <c r="A94" s="38" t="n">
        <v>44691</v>
      </c>
      <c r="B94" s="69">
        <f>RETORNOS_HIST!C94</f>
        <v/>
      </c>
      <c r="C94" s="42">
        <f>B94^2</f>
        <v/>
      </c>
      <c r="D94" s="42">
        <f>PARÂMETROS!B21*D93+(1-PARÂMETROS!B21)*C93</f>
        <v/>
      </c>
      <c r="E94" s="40">
        <f>SQRT(D94)</f>
        <v/>
      </c>
      <c r="F94" s="41">
        <f>E94*SQRT(PARÂMETROS!B10)</f>
        <v/>
      </c>
      <c r="G94" s="41">
        <f>VaR_PARAMÉTRICO!B12*E94</f>
        <v/>
      </c>
      <c r="H94" s="59">
        <f>G94*PARÂMETROS!B24</f>
        <v/>
      </c>
    </row>
    <row r="95" ht="16" customHeight="1">
      <c r="A95" s="35" t="n">
        <v>44692</v>
      </c>
      <c r="B95" s="68">
        <f>RETORNOS_HIST!C95</f>
        <v/>
      </c>
      <c r="C95" s="45">
        <f>B95^2</f>
        <v/>
      </c>
      <c r="D95" s="45">
        <f>PARÂMETROS!B21*D94+(1-PARÂMETROS!B21)*C94</f>
        <v/>
      </c>
      <c r="E95" s="43">
        <f>SQRT(D95)</f>
        <v/>
      </c>
      <c r="F95" s="44">
        <f>E95*SQRT(PARÂMETROS!B10)</f>
        <v/>
      </c>
      <c r="G95" s="44">
        <f>VaR_PARAMÉTRICO!B12*E95</f>
        <v/>
      </c>
      <c r="H95" s="57">
        <f>G95*PARÂMETROS!B24</f>
        <v/>
      </c>
    </row>
    <row r="96" ht="16" customHeight="1">
      <c r="A96" s="38" t="n">
        <v>44693</v>
      </c>
      <c r="B96" s="69">
        <f>RETORNOS_HIST!C96</f>
        <v/>
      </c>
      <c r="C96" s="42">
        <f>B96^2</f>
        <v/>
      </c>
      <c r="D96" s="42">
        <f>PARÂMETROS!B21*D95+(1-PARÂMETROS!B21)*C95</f>
        <v/>
      </c>
      <c r="E96" s="40">
        <f>SQRT(D96)</f>
        <v/>
      </c>
      <c r="F96" s="41">
        <f>E96*SQRT(PARÂMETROS!B10)</f>
        <v/>
      </c>
      <c r="G96" s="41">
        <f>VaR_PARAMÉTRICO!B12*E96</f>
        <v/>
      </c>
      <c r="H96" s="59">
        <f>G96*PARÂMETROS!B24</f>
        <v/>
      </c>
    </row>
    <row r="97" ht="16" customHeight="1">
      <c r="A97" s="35" t="n">
        <v>44694</v>
      </c>
      <c r="B97" s="68">
        <f>RETORNOS_HIST!C97</f>
        <v/>
      </c>
      <c r="C97" s="45">
        <f>B97^2</f>
        <v/>
      </c>
      <c r="D97" s="45">
        <f>PARÂMETROS!B21*D96+(1-PARÂMETROS!B21)*C96</f>
        <v/>
      </c>
      <c r="E97" s="43">
        <f>SQRT(D97)</f>
        <v/>
      </c>
      <c r="F97" s="44">
        <f>E97*SQRT(PARÂMETROS!B10)</f>
        <v/>
      </c>
      <c r="G97" s="44">
        <f>VaR_PARAMÉTRICO!B12*E97</f>
        <v/>
      </c>
      <c r="H97" s="57">
        <f>G97*PARÂMETROS!B24</f>
        <v/>
      </c>
    </row>
    <row r="98" ht="16" customHeight="1">
      <c r="A98" s="38" t="n">
        <v>44697</v>
      </c>
      <c r="B98" s="69">
        <f>RETORNOS_HIST!C98</f>
        <v/>
      </c>
      <c r="C98" s="42">
        <f>B98^2</f>
        <v/>
      </c>
      <c r="D98" s="42">
        <f>PARÂMETROS!B21*D97+(1-PARÂMETROS!B21)*C97</f>
        <v/>
      </c>
      <c r="E98" s="40">
        <f>SQRT(D98)</f>
        <v/>
      </c>
      <c r="F98" s="41">
        <f>E98*SQRT(PARÂMETROS!B10)</f>
        <v/>
      </c>
      <c r="G98" s="41">
        <f>VaR_PARAMÉTRICO!B12*E98</f>
        <v/>
      </c>
      <c r="H98" s="59">
        <f>G98*PARÂMETROS!B24</f>
        <v/>
      </c>
    </row>
    <row r="99" ht="16" customHeight="1">
      <c r="A99" s="35" t="n">
        <v>44698</v>
      </c>
      <c r="B99" s="68">
        <f>RETORNOS_HIST!C99</f>
        <v/>
      </c>
      <c r="C99" s="45">
        <f>B99^2</f>
        <v/>
      </c>
      <c r="D99" s="45">
        <f>PARÂMETROS!B21*D98+(1-PARÂMETROS!B21)*C98</f>
        <v/>
      </c>
      <c r="E99" s="43">
        <f>SQRT(D99)</f>
        <v/>
      </c>
      <c r="F99" s="44">
        <f>E99*SQRT(PARÂMETROS!B10)</f>
        <v/>
      </c>
      <c r="G99" s="44">
        <f>VaR_PARAMÉTRICO!B12*E99</f>
        <v/>
      </c>
      <c r="H99" s="57">
        <f>G99*PARÂMETROS!B24</f>
        <v/>
      </c>
    </row>
    <row r="100" ht="16" customHeight="1">
      <c r="A100" s="38" t="n">
        <v>44699</v>
      </c>
      <c r="B100" s="69">
        <f>RETORNOS_HIST!C100</f>
        <v/>
      </c>
      <c r="C100" s="42">
        <f>B100^2</f>
        <v/>
      </c>
      <c r="D100" s="42">
        <f>PARÂMETROS!B21*D99+(1-PARÂMETROS!B21)*C99</f>
        <v/>
      </c>
      <c r="E100" s="40">
        <f>SQRT(D100)</f>
        <v/>
      </c>
      <c r="F100" s="41">
        <f>E100*SQRT(PARÂMETROS!B10)</f>
        <v/>
      </c>
      <c r="G100" s="41">
        <f>VaR_PARAMÉTRICO!B12*E100</f>
        <v/>
      </c>
      <c r="H100" s="59">
        <f>G100*PARÂMETROS!B24</f>
        <v/>
      </c>
    </row>
    <row r="101" ht="16" customHeight="1">
      <c r="A101" s="35" t="n">
        <v>44700</v>
      </c>
      <c r="B101" s="68">
        <f>RETORNOS_HIST!C101</f>
        <v/>
      </c>
      <c r="C101" s="45">
        <f>B101^2</f>
        <v/>
      </c>
      <c r="D101" s="45">
        <f>PARÂMETROS!B21*D100+(1-PARÂMETROS!B21)*C100</f>
        <v/>
      </c>
      <c r="E101" s="43">
        <f>SQRT(D101)</f>
        <v/>
      </c>
      <c r="F101" s="44">
        <f>E101*SQRT(PARÂMETROS!B10)</f>
        <v/>
      </c>
      <c r="G101" s="44">
        <f>VaR_PARAMÉTRICO!B12*E101</f>
        <v/>
      </c>
      <c r="H101" s="57">
        <f>G101*PARÂMETROS!B24</f>
        <v/>
      </c>
    </row>
    <row r="102" ht="16" customHeight="1">
      <c r="A102" s="38" t="n">
        <v>44701</v>
      </c>
      <c r="B102" s="69">
        <f>RETORNOS_HIST!C102</f>
        <v/>
      </c>
      <c r="C102" s="42">
        <f>B102^2</f>
        <v/>
      </c>
      <c r="D102" s="42">
        <f>PARÂMETROS!B21*D101+(1-PARÂMETROS!B21)*C101</f>
        <v/>
      </c>
      <c r="E102" s="40">
        <f>SQRT(D102)</f>
        <v/>
      </c>
      <c r="F102" s="41">
        <f>E102*SQRT(PARÂMETROS!B10)</f>
        <v/>
      </c>
      <c r="G102" s="41">
        <f>VaR_PARAMÉTRICO!B12*E102</f>
        <v/>
      </c>
      <c r="H102" s="59">
        <f>G102*PARÂMETROS!B24</f>
        <v/>
      </c>
    </row>
    <row r="103" ht="16" customHeight="1">
      <c r="A103" s="35" t="n">
        <v>44704</v>
      </c>
      <c r="B103" s="68">
        <f>RETORNOS_HIST!C103</f>
        <v/>
      </c>
      <c r="C103" s="45">
        <f>B103^2</f>
        <v/>
      </c>
      <c r="D103" s="45">
        <f>PARÂMETROS!B21*D102+(1-PARÂMETROS!B21)*C102</f>
        <v/>
      </c>
      <c r="E103" s="43">
        <f>SQRT(D103)</f>
        <v/>
      </c>
      <c r="F103" s="44">
        <f>E103*SQRT(PARÂMETROS!B10)</f>
        <v/>
      </c>
      <c r="G103" s="44">
        <f>VaR_PARAMÉTRICO!B12*E103</f>
        <v/>
      </c>
      <c r="H103" s="57">
        <f>G103*PARÂMETROS!B24</f>
        <v/>
      </c>
    </row>
    <row r="104" ht="16" customHeight="1">
      <c r="A104" s="38" t="n">
        <v>44705</v>
      </c>
      <c r="B104" s="69">
        <f>RETORNOS_HIST!C104</f>
        <v/>
      </c>
      <c r="C104" s="42">
        <f>B104^2</f>
        <v/>
      </c>
      <c r="D104" s="42">
        <f>PARÂMETROS!B21*D103+(1-PARÂMETROS!B21)*C103</f>
        <v/>
      </c>
      <c r="E104" s="40">
        <f>SQRT(D104)</f>
        <v/>
      </c>
      <c r="F104" s="41">
        <f>E104*SQRT(PARÂMETROS!B10)</f>
        <v/>
      </c>
      <c r="G104" s="41">
        <f>VaR_PARAMÉTRICO!B12*E104</f>
        <v/>
      </c>
      <c r="H104" s="59">
        <f>G104*PARÂMETROS!B24</f>
        <v/>
      </c>
    </row>
    <row r="105" ht="16" customHeight="1">
      <c r="A105" s="35" t="n">
        <v>44706</v>
      </c>
      <c r="B105" s="68">
        <f>RETORNOS_HIST!C105</f>
        <v/>
      </c>
      <c r="C105" s="45">
        <f>B105^2</f>
        <v/>
      </c>
      <c r="D105" s="45">
        <f>PARÂMETROS!B21*D104+(1-PARÂMETROS!B21)*C104</f>
        <v/>
      </c>
      <c r="E105" s="43">
        <f>SQRT(D105)</f>
        <v/>
      </c>
      <c r="F105" s="44">
        <f>E105*SQRT(PARÂMETROS!B10)</f>
        <v/>
      </c>
      <c r="G105" s="44">
        <f>VaR_PARAMÉTRICO!B12*E105</f>
        <v/>
      </c>
      <c r="H105" s="57">
        <f>G105*PARÂMETROS!B24</f>
        <v/>
      </c>
    </row>
    <row r="106" ht="16" customHeight="1">
      <c r="A106" s="38" t="n">
        <v>44707</v>
      </c>
      <c r="B106" s="69">
        <f>RETORNOS_HIST!C106</f>
        <v/>
      </c>
      <c r="C106" s="42">
        <f>B106^2</f>
        <v/>
      </c>
      <c r="D106" s="42">
        <f>PARÂMETROS!B21*D105+(1-PARÂMETROS!B21)*C105</f>
        <v/>
      </c>
      <c r="E106" s="40">
        <f>SQRT(D106)</f>
        <v/>
      </c>
      <c r="F106" s="41">
        <f>E106*SQRT(PARÂMETROS!B10)</f>
        <v/>
      </c>
      <c r="G106" s="41">
        <f>VaR_PARAMÉTRICO!B12*E106</f>
        <v/>
      </c>
      <c r="H106" s="59">
        <f>G106*PARÂMETROS!B24</f>
        <v/>
      </c>
    </row>
    <row r="107" ht="16" customHeight="1">
      <c r="A107" s="35" t="n">
        <v>44708</v>
      </c>
      <c r="B107" s="68">
        <f>RETORNOS_HIST!C107</f>
        <v/>
      </c>
      <c r="C107" s="45">
        <f>B107^2</f>
        <v/>
      </c>
      <c r="D107" s="45">
        <f>PARÂMETROS!B21*D106+(1-PARÂMETROS!B21)*C106</f>
        <v/>
      </c>
      <c r="E107" s="43">
        <f>SQRT(D107)</f>
        <v/>
      </c>
      <c r="F107" s="44">
        <f>E107*SQRT(PARÂMETROS!B10)</f>
        <v/>
      </c>
      <c r="G107" s="44">
        <f>VaR_PARAMÉTRICO!B12*E107</f>
        <v/>
      </c>
      <c r="H107" s="57">
        <f>G107*PARÂMETROS!B24</f>
        <v/>
      </c>
    </row>
    <row r="108" ht="16" customHeight="1">
      <c r="A108" s="38" t="n">
        <v>44711</v>
      </c>
      <c r="B108" s="69">
        <f>RETORNOS_HIST!C108</f>
        <v/>
      </c>
      <c r="C108" s="42">
        <f>B108^2</f>
        <v/>
      </c>
      <c r="D108" s="42">
        <f>PARÂMETROS!B21*D107+(1-PARÂMETROS!B21)*C107</f>
        <v/>
      </c>
      <c r="E108" s="40">
        <f>SQRT(D108)</f>
        <v/>
      </c>
      <c r="F108" s="41">
        <f>E108*SQRT(PARÂMETROS!B10)</f>
        <v/>
      </c>
      <c r="G108" s="41">
        <f>VaR_PARAMÉTRICO!B12*E108</f>
        <v/>
      </c>
      <c r="H108" s="59">
        <f>G108*PARÂMETROS!B24</f>
        <v/>
      </c>
    </row>
    <row r="109" ht="16" customHeight="1">
      <c r="A109" s="35" t="n">
        <v>44712</v>
      </c>
      <c r="B109" s="68">
        <f>RETORNOS_HIST!C109</f>
        <v/>
      </c>
      <c r="C109" s="45">
        <f>B109^2</f>
        <v/>
      </c>
      <c r="D109" s="45">
        <f>PARÂMETROS!B21*D108+(1-PARÂMETROS!B21)*C108</f>
        <v/>
      </c>
      <c r="E109" s="43">
        <f>SQRT(D109)</f>
        <v/>
      </c>
      <c r="F109" s="44">
        <f>E109*SQRT(PARÂMETROS!B10)</f>
        <v/>
      </c>
      <c r="G109" s="44">
        <f>VaR_PARAMÉTRICO!B12*E109</f>
        <v/>
      </c>
      <c r="H109" s="57">
        <f>G109*PARÂMETROS!B24</f>
        <v/>
      </c>
    </row>
    <row r="110" ht="16" customHeight="1">
      <c r="A110" s="38" t="n">
        <v>44713</v>
      </c>
      <c r="B110" s="69">
        <f>RETORNOS_HIST!C110</f>
        <v/>
      </c>
      <c r="C110" s="42">
        <f>B110^2</f>
        <v/>
      </c>
      <c r="D110" s="42">
        <f>PARÂMETROS!B21*D109+(1-PARÂMETROS!B21)*C109</f>
        <v/>
      </c>
      <c r="E110" s="40">
        <f>SQRT(D110)</f>
        <v/>
      </c>
      <c r="F110" s="41">
        <f>E110*SQRT(PARÂMETROS!B10)</f>
        <v/>
      </c>
      <c r="G110" s="41">
        <f>VaR_PARAMÉTRICO!B12*E110</f>
        <v/>
      </c>
      <c r="H110" s="59">
        <f>G110*PARÂMETROS!B24</f>
        <v/>
      </c>
    </row>
    <row r="111" ht="16" customHeight="1">
      <c r="A111" s="35" t="n">
        <v>44714</v>
      </c>
      <c r="B111" s="68">
        <f>RETORNOS_HIST!C111</f>
        <v/>
      </c>
      <c r="C111" s="45">
        <f>B111^2</f>
        <v/>
      </c>
      <c r="D111" s="45">
        <f>PARÂMETROS!B21*D110+(1-PARÂMETROS!B21)*C110</f>
        <v/>
      </c>
      <c r="E111" s="43">
        <f>SQRT(D111)</f>
        <v/>
      </c>
      <c r="F111" s="44">
        <f>E111*SQRT(PARÂMETROS!B10)</f>
        <v/>
      </c>
      <c r="G111" s="44">
        <f>VaR_PARAMÉTRICO!B12*E111</f>
        <v/>
      </c>
      <c r="H111" s="57">
        <f>G111*PARÂMETROS!B24</f>
        <v/>
      </c>
    </row>
    <row r="112" ht="16" customHeight="1">
      <c r="A112" s="38" t="n">
        <v>44715</v>
      </c>
      <c r="B112" s="69">
        <f>RETORNOS_HIST!C112</f>
        <v/>
      </c>
      <c r="C112" s="42">
        <f>B112^2</f>
        <v/>
      </c>
      <c r="D112" s="42">
        <f>PARÂMETROS!B21*D111+(1-PARÂMETROS!B21)*C111</f>
        <v/>
      </c>
      <c r="E112" s="40">
        <f>SQRT(D112)</f>
        <v/>
      </c>
      <c r="F112" s="41">
        <f>E112*SQRT(PARÂMETROS!B10)</f>
        <v/>
      </c>
      <c r="G112" s="41">
        <f>VaR_PARAMÉTRICO!B12*E112</f>
        <v/>
      </c>
      <c r="H112" s="59">
        <f>G112*PARÂMETROS!B24</f>
        <v/>
      </c>
    </row>
    <row r="113" ht="16" customHeight="1">
      <c r="A113" s="35" t="n">
        <v>44718</v>
      </c>
      <c r="B113" s="68">
        <f>RETORNOS_HIST!C113</f>
        <v/>
      </c>
      <c r="C113" s="45">
        <f>B113^2</f>
        <v/>
      </c>
      <c r="D113" s="45">
        <f>PARÂMETROS!B21*D112+(1-PARÂMETROS!B21)*C112</f>
        <v/>
      </c>
      <c r="E113" s="43">
        <f>SQRT(D113)</f>
        <v/>
      </c>
      <c r="F113" s="44">
        <f>E113*SQRT(PARÂMETROS!B10)</f>
        <v/>
      </c>
      <c r="G113" s="44">
        <f>VaR_PARAMÉTRICO!B12*E113</f>
        <v/>
      </c>
      <c r="H113" s="57">
        <f>G113*PARÂMETROS!B24</f>
        <v/>
      </c>
    </row>
    <row r="114" ht="16" customHeight="1">
      <c r="A114" s="38" t="n">
        <v>44719</v>
      </c>
      <c r="B114" s="69">
        <f>RETORNOS_HIST!C114</f>
        <v/>
      </c>
      <c r="C114" s="42">
        <f>B114^2</f>
        <v/>
      </c>
      <c r="D114" s="42">
        <f>PARÂMETROS!B21*D113+(1-PARÂMETROS!B21)*C113</f>
        <v/>
      </c>
      <c r="E114" s="40">
        <f>SQRT(D114)</f>
        <v/>
      </c>
      <c r="F114" s="41">
        <f>E114*SQRT(PARÂMETROS!B10)</f>
        <v/>
      </c>
      <c r="G114" s="41">
        <f>VaR_PARAMÉTRICO!B12*E114</f>
        <v/>
      </c>
      <c r="H114" s="59">
        <f>G114*PARÂMETROS!B24</f>
        <v/>
      </c>
    </row>
    <row r="115" ht="16" customHeight="1">
      <c r="A115" s="35" t="n">
        <v>44720</v>
      </c>
      <c r="B115" s="68">
        <f>RETORNOS_HIST!C115</f>
        <v/>
      </c>
      <c r="C115" s="45">
        <f>B115^2</f>
        <v/>
      </c>
      <c r="D115" s="45">
        <f>PARÂMETROS!B21*D114+(1-PARÂMETROS!B21)*C114</f>
        <v/>
      </c>
      <c r="E115" s="43">
        <f>SQRT(D115)</f>
        <v/>
      </c>
      <c r="F115" s="44">
        <f>E115*SQRT(PARÂMETROS!B10)</f>
        <v/>
      </c>
      <c r="G115" s="44">
        <f>VaR_PARAMÉTRICO!B12*E115</f>
        <v/>
      </c>
      <c r="H115" s="57">
        <f>G115*PARÂMETROS!B24</f>
        <v/>
      </c>
    </row>
    <row r="116" ht="16" customHeight="1">
      <c r="A116" s="38" t="n">
        <v>44721</v>
      </c>
      <c r="B116" s="69">
        <f>RETORNOS_HIST!C116</f>
        <v/>
      </c>
      <c r="C116" s="42">
        <f>B116^2</f>
        <v/>
      </c>
      <c r="D116" s="42">
        <f>PARÂMETROS!B21*D115+(1-PARÂMETROS!B21)*C115</f>
        <v/>
      </c>
      <c r="E116" s="40">
        <f>SQRT(D116)</f>
        <v/>
      </c>
      <c r="F116" s="41">
        <f>E116*SQRT(PARÂMETROS!B10)</f>
        <v/>
      </c>
      <c r="G116" s="41">
        <f>VaR_PARAMÉTRICO!B12*E116</f>
        <v/>
      </c>
      <c r="H116" s="59">
        <f>G116*PARÂMETROS!B24</f>
        <v/>
      </c>
    </row>
    <row r="117" ht="16" customHeight="1">
      <c r="A117" s="35" t="n">
        <v>44722</v>
      </c>
      <c r="B117" s="68">
        <f>RETORNOS_HIST!C117</f>
        <v/>
      </c>
      <c r="C117" s="45">
        <f>B117^2</f>
        <v/>
      </c>
      <c r="D117" s="45">
        <f>PARÂMETROS!B21*D116+(1-PARÂMETROS!B21)*C116</f>
        <v/>
      </c>
      <c r="E117" s="43">
        <f>SQRT(D117)</f>
        <v/>
      </c>
      <c r="F117" s="44">
        <f>E117*SQRT(PARÂMETROS!B10)</f>
        <v/>
      </c>
      <c r="G117" s="44">
        <f>VaR_PARAMÉTRICO!B12*E117</f>
        <v/>
      </c>
      <c r="H117" s="57">
        <f>G117*PARÂMETROS!B24</f>
        <v/>
      </c>
    </row>
    <row r="118" ht="16" customHeight="1">
      <c r="A118" s="38" t="n">
        <v>44725</v>
      </c>
      <c r="B118" s="69">
        <f>RETORNOS_HIST!C118</f>
        <v/>
      </c>
      <c r="C118" s="42">
        <f>B118^2</f>
        <v/>
      </c>
      <c r="D118" s="42">
        <f>PARÂMETROS!B21*D117+(1-PARÂMETROS!B21)*C117</f>
        <v/>
      </c>
      <c r="E118" s="40">
        <f>SQRT(D118)</f>
        <v/>
      </c>
      <c r="F118" s="41">
        <f>E118*SQRT(PARÂMETROS!B10)</f>
        <v/>
      </c>
      <c r="G118" s="41">
        <f>VaR_PARAMÉTRICO!B12*E118</f>
        <v/>
      </c>
      <c r="H118" s="59">
        <f>G118*PARÂMETROS!B24</f>
        <v/>
      </c>
    </row>
    <row r="119" ht="16" customHeight="1">
      <c r="A119" s="35" t="n">
        <v>44726</v>
      </c>
      <c r="B119" s="68">
        <f>RETORNOS_HIST!C119</f>
        <v/>
      </c>
      <c r="C119" s="45">
        <f>B119^2</f>
        <v/>
      </c>
      <c r="D119" s="45">
        <f>PARÂMETROS!B21*D118+(1-PARÂMETROS!B21)*C118</f>
        <v/>
      </c>
      <c r="E119" s="43">
        <f>SQRT(D119)</f>
        <v/>
      </c>
      <c r="F119" s="44">
        <f>E119*SQRT(PARÂMETROS!B10)</f>
        <v/>
      </c>
      <c r="G119" s="44">
        <f>VaR_PARAMÉTRICO!B12*E119</f>
        <v/>
      </c>
      <c r="H119" s="57">
        <f>G119*PARÂMETROS!B24</f>
        <v/>
      </c>
    </row>
    <row r="120" ht="16" customHeight="1">
      <c r="A120" s="38" t="n">
        <v>44727</v>
      </c>
      <c r="B120" s="69">
        <f>RETORNOS_HIST!C120</f>
        <v/>
      </c>
      <c r="C120" s="42">
        <f>B120^2</f>
        <v/>
      </c>
      <c r="D120" s="42">
        <f>PARÂMETROS!B21*D119+(1-PARÂMETROS!B21)*C119</f>
        <v/>
      </c>
      <c r="E120" s="40">
        <f>SQRT(D120)</f>
        <v/>
      </c>
      <c r="F120" s="41">
        <f>E120*SQRT(PARÂMETROS!B10)</f>
        <v/>
      </c>
      <c r="G120" s="41">
        <f>VaR_PARAMÉTRICO!B12*E120</f>
        <v/>
      </c>
      <c r="H120" s="59">
        <f>G120*PARÂMETROS!B24</f>
        <v/>
      </c>
    </row>
    <row r="121" ht="16" customHeight="1">
      <c r="A121" s="35" t="n">
        <v>44728</v>
      </c>
      <c r="B121" s="68">
        <f>RETORNOS_HIST!C121</f>
        <v/>
      </c>
      <c r="C121" s="45">
        <f>B121^2</f>
        <v/>
      </c>
      <c r="D121" s="45">
        <f>PARÂMETROS!B21*D120+(1-PARÂMETROS!B21)*C120</f>
        <v/>
      </c>
      <c r="E121" s="43">
        <f>SQRT(D121)</f>
        <v/>
      </c>
      <c r="F121" s="44">
        <f>E121*SQRT(PARÂMETROS!B10)</f>
        <v/>
      </c>
      <c r="G121" s="44">
        <f>VaR_PARAMÉTRICO!B12*E121</f>
        <v/>
      </c>
      <c r="H121" s="57">
        <f>G121*PARÂMETROS!B24</f>
        <v/>
      </c>
    </row>
    <row r="122" ht="16" customHeight="1">
      <c r="A122" s="38" t="n">
        <v>44729</v>
      </c>
      <c r="B122" s="69">
        <f>RETORNOS_HIST!C122</f>
        <v/>
      </c>
      <c r="C122" s="42">
        <f>B122^2</f>
        <v/>
      </c>
      <c r="D122" s="42">
        <f>PARÂMETROS!B21*D121+(1-PARÂMETROS!B21)*C121</f>
        <v/>
      </c>
      <c r="E122" s="40">
        <f>SQRT(D122)</f>
        <v/>
      </c>
      <c r="F122" s="41">
        <f>E122*SQRT(PARÂMETROS!B10)</f>
        <v/>
      </c>
      <c r="G122" s="41">
        <f>VaR_PARAMÉTRICO!B12*E122</f>
        <v/>
      </c>
      <c r="H122" s="59">
        <f>G122*PARÂMETROS!B24</f>
        <v/>
      </c>
    </row>
    <row r="123" ht="16" customHeight="1">
      <c r="A123" s="35" t="n">
        <v>44732</v>
      </c>
      <c r="B123" s="68">
        <f>RETORNOS_HIST!C123</f>
        <v/>
      </c>
      <c r="C123" s="45">
        <f>B123^2</f>
        <v/>
      </c>
      <c r="D123" s="45">
        <f>PARÂMETROS!B21*D122+(1-PARÂMETROS!B21)*C122</f>
        <v/>
      </c>
      <c r="E123" s="43">
        <f>SQRT(D123)</f>
        <v/>
      </c>
      <c r="F123" s="44">
        <f>E123*SQRT(PARÂMETROS!B10)</f>
        <v/>
      </c>
      <c r="G123" s="44">
        <f>VaR_PARAMÉTRICO!B12*E123</f>
        <v/>
      </c>
      <c r="H123" s="57">
        <f>G123*PARÂMETROS!B24</f>
        <v/>
      </c>
    </row>
    <row r="124" ht="16" customHeight="1">
      <c r="A124" s="38" t="n">
        <v>44733</v>
      </c>
      <c r="B124" s="69">
        <f>RETORNOS_HIST!C124</f>
        <v/>
      </c>
      <c r="C124" s="42">
        <f>B124^2</f>
        <v/>
      </c>
      <c r="D124" s="42">
        <f>PARÂMETROS!B21*D123+(1-PARÂMETROS!B21)*C123</f>
        <v/>
      </c>
      <c r="E124" s="40">
        <f>SQRT(D124)</f>
        <v/>
      </c>
      <c r="F124" s="41">
        <f>E124*SQRT(PARÂMETROS!B10)</f>
        <v/>
      </c>
      <c r="G124" s="41">
        <f>VaR_PARAMÉTRICO!B12*E124</f>
        <v/>
      </c>
      <c r="H124" s="59">
        <f>G124*PARÂMETROS!B24</f>
        <v/>
      </c>
    </row>
    <row r="125" ht="16" customHeight="1">
      <c r="A125" s="35" t="n">
        <v>44734</v>
      </c>
      <c r="B125" s="68">
        <f>RETORNOS_HIST!C125</f>
        <v/>
      </c>
      <c r="C125" s="45">
        <f>B125^2</f>
        <v/>
      </c>
      <c r="D125" s="45">
        <f>PARÂMETROS!B21*D124+(1-PARÂMETROS!B21)*C124</f>
        <v/>
      </c>
      <c r="E125" s="43">
        <f>SQRT(D125)</f>
        <v/>
      </c>
      <c r="F125" s="44">
        <f>E125*SQRT(PARÂMETROS!B10)</f>
        <v/>
      </c>
      <c r="G125" s="44">
        <f>VaR_PARAMÉTRICO!B12*E125</f>
        <v/>
      </c>
      <c r="H125" s="57">
        <f>G125*PARÂMETROS!B24</f>
        <v/>
      </c>
    </row>
    <row r="126" ht="16" customHeight="1">
      <c r="A126" s="38" t="n">
        <v>44735</v>
      </c>
      <c r="B126" s="69">
        <f>RETORNOS_HIST!C126</f>
        <v/>
      </c>
      <c r="C126" s="42">
        <f>B126^2</f>
        <v/>
      </c>
      <c r="D126" s="42">
        <f>PARÂMETROS!B21*D125+(1-PARÂMETROS!B21)*C125</f>
        <v/>
      </c>
      <c r="E126" s="40">
        <f>SQRT(D126)</f>
        <v/>
      </c>
      <c r="F126" s="41">
        <f>E126*SQRT(PARÂMETROS!B10)</f>
        <v/>
      </c>
      <c r="G126" s="41">
        <f>VaR_PARAMÉTRICO!B12*E126</f>
        <v/>
      </c>
      <c r="H126" s="59">
        <f>G126*PARÂMETROS!B24</f>
        <v/>
      </c>
    </row>
    <row r="127" ht="16" customHeight="1">
      <c r="A127" s="35" t="n">
        <v>44736</v>
      </c>
      <c r="B127" s="68">
        <f>RETORNOS_HIST!C127</f>
        <v/>
      </c>
      <c r="C127" s="45">
        <f>B127^2</f>
        <v/>
      </c>
      <c r="D127" s="45">
        <f>PARÂMETROS!B21*D126+(1-PARÂMETROS!B21)*C126</f>
        <v/>
      </c>
      <c r="E127" s="43">
        <f>SQRT(D127)</f>
        <v/>
      </c>
      <c r="F127" s="44">
        <f>E127*SQRT(PARÂMETROS!B10)</f>
        <v/>
      </c>
      <c r="G127" s="44">
        <f>VaR_PARAMÉTRICO!B12*E127</f>
        <v/>
      </c>
      <c r="H127" s="57">
        <f>G127*PARÂMETROS!B24</f>
        <v/>
      </c>
    </row>
    <row r="128" ht="16" customHeight="1">
      <c r="A128" s="38" t="n">
        <v>44739</v>
      </c>
      <c r="B128" s="69">
        <f>RETORNOS_HIST!C128</f>
        <v/>
      </c>
      <c r="C128" s="42">
        <f>B128^2</f>
        <v/>
      </c>
      <c r="D128" s="42">
        <f>PARÂMETROS!B21*D127+(1-PARÂMETROS!B21)*C127</f>
        <v/>
      </c>
      <c r="E128" s="40">
        <f>SQRT(D128)</f>
        <v/>
      </c>
      <c r="F128" s="41">
        <f>E128*SQRT(PARÂMETROS!B10)</f>
        <v/>
      </c>
      <c r="G128" s="41">
        <f>VaR_PARAMÉTRICO!B12*E128</f>
        <v/>
      </c>
      <c r="H128" s="59">
        <f>G128*PARÂMETROS!B24</f>
        <v/>
      </c>
    </row>
    <row r="129" ht="16" customHeight="1">
      <c r="A129" s="35" t="n">
        <v>44740</v>
      </c>
      <c r="B129" s="68">
        <f>RETORNOS_HIST!C129</f>
        <v/>
      </c>
      <c r="C129" s="45">
        <f>B129^2</f>
        <v/>
      </c>
      <c r="D129" s="45">
        <f>PARÂMETROS!B21*D128+(1-PARÂMETROS!B21)*C128</f>
        <v/>
      </c>
      <c r="E129" s="43">
        <f>SQRT(D129)</f>
        <v/>
      </c>
      <c r="F129" s="44">
        <f>E129*SQRT(PARÂMETROS!B10)</f>
        <v/>
      </c>
      <c r="G129" s="44">
        <f>VaR_PARAMÉTRICO!B12*E129</f>
        <v/>
      </c>
      <c r="H129" s="57">
        <f>G129*PARÂMETROS!B24</f>
        <v/>
      </c>
    </row>
    <row r="130" ht="16" customHeight="1">
      <c r="A130" s="38" t="n">
        <v>44741</v>
      </c>
      <c r="B130" s="69">
        <f>RETORNOS_HIST!C130</f>
        <v/>
      </c>
      <c r="C130" s="42">
        <f>B130^2</f>
        <v/>
      </c>
      <c r="D130" s="42">
        <f>PARÂMETROS!B21*D129+(1-PARÂMETROS!B21)*C129</f>
        <v/>
      </c>
      <c r="E130" s="40">
        <f>SQRT(D130)</f>
        <v/>
      </c>
      <c r="F130" s="41">
        <f>E130*SQRT(PARÂMETROS!B10)</f>
        <v/>
      </c>
      <c r="G130" s="41">
        <f>VaR_PARAMÉTRICO!B12*E130</f>
        <v/>
      </c>
      <c r="H130" s="59">
        <f>G130*PARÂMETROS!B24</f>
        <v/>
      </c>
    </row>
    <row r="131" ht="16" customHeight="1">
      <c r="A131" s="35" t="n">
        <v>44742</v>
      </c>
      <c r="B131" s="68">
        <f>RETORNOS_HIST!C131</f>
        <v/>
      </c>
      <c r="C131" s="45">
        <f>B131^2</f>
        <v/>
      </c>
      <c r="D131" s="45">
        <f>PARÂMETROS!B21*D130+(1-PARÂMETROS!B21)*C130</f>
        <v/>
      </c>
      <c r="E131" s="43">
        <f>SQRT(D131)</f>
        <v/>
      </c>
      <c r="F131" s="44">
        <f>E131*SQRT(PARÂMETROS!B10)</f>
        <v/>
      </c>
      <c r="G131" s="44">
        <f>VaR_PARAMÉTRICO!B12*E131</f>
        <v/>
      </c>
      <c r="H131" s="57">
        <f>G131*PARÂMETROS!B24</f>
        <v/>
      </c>
    </row>
    <row r="132" ht="16" customHeight="1">
      <c r="A132" s="38" t="n">
        <v>44743</v>
      </c>
      <c r="B132" s="69">
        <f>RETORNOS_HIST!C132</f>
        <v/>
      </c>
      <c r="C132" s="42">
        <f>B132^2</f>
        <v/>
      </c>
      <c r="D132" s="42">
        <f>PARÂMETROS!B21*D131+(1-PARÂMETROS!B21)*C131</f>
        <v/>
      </c>
      <c r="E132" s="40">
        <f>SQRT(D132)</f>
        <v/>
      </c>
      <c r="F132" s="41">
        <f>E132*SQRT(PARÂMETROS!B10)</f>
        <v/>
      </c>
      <c r="G132" s="41">
        <f>VaR_PARAMÉTRICO!B12*E132</f>
        <v/>
      </c>
      <c r="H132" s="59">
        <f>G132*PARÂMETROS!B24</f>
        <v/>
      </c>
    </row>
    <row r="133" ht="16" customHeight="1">
      <c r="A133" s="35" t="n">
        <v>44746</v>
      </c>
      <c r="B133" s="68">
        <f>RETORNOS_HIST!C133</f>
        <v/>
      </c>
      <c r="C133" s="45">
        <f>B133^2</f>
        <v/>
      </c>
      <c r="D133" s="45">
        <f>PARÂMETROS!B21*D132+(1-PARÂMETROS!B21)*C132</f>
        <v/>
      </c>
      <c r="E133" s="43">
        <f>SQRT(D133)</f>
        <v/>
      </c>
      <c r="F133" s="44">
        <f>E133*SQRT(PARÂMETROS!B10)</f>
        <v/>
      </c>
      <c r="G133" s="44">
        <f>VaR_PARAMÉTRICO!B12*E133</f>
        <v/>
      </c>
      <c r="H133" s="57">
        <f>G133*PARÂMETROS!B24</f>
        <v/>
      </c>
    </row>
    <row r="134" ht="16" customHeight="1">
      <c r="A134" s="38" t="n">
        <v>44747</v>
      </c>
      <c r="B134" s="69">
        <f>RETORNOS_HIST!C134</f>
        <v/>
      </c>
      <c r="C134" s="42">
        <f>B134^2</f>
        <v/>
      </c>
      <c r="D134" s="42">
        <f>PARÂMETROS!B21*D133+(1-PARÂMETROS!B21)*C133</f>
        <v/>
      </c>
      <c r="E134" s="40">
        <f>SQRT(D134)</f>
        <v/>
      </c>
      <c r="F134" s="41">
        <f>E134*SQRT(PARÂMETROS!B10)</f>
        <v/>
      </c>
      <c r="G134" s="41">
        <f>VaR_PARAMÉTRICO!B12*E134</f>
        <v/>
      </c>
      <c r="H134" s="59">
        <f>G134*PARÂMETROS!B24</f>
        <v/>
      </c>
    </row>
    <row r="135" ht="16" customHeight="1">
      <c r="A135" s="35" t="n">
        <v>44748</v>
      </c>
      <c r="B135" s="68">
        <f>RETORNOS_HIST!C135</f>
        <v/>
      </c>
      <c r="C135" s="45">
        <f>B135^2</f>
        <v/>
      </c>
      <c r="D135" s="45">
        <f>PARÂMETROS!B21*D134+(1-PARÂMETROS!B21)*C134</f>
        <v/>
      </c>
      <c r="E135" s="43">
        <f>SQRT(D135)</f>
        <v/>
      </c>
      <c r="F135" s="44">
        <f>E135*SQRT(PARÂMETROS!B10)</f>
        <v/>
      </c>
      <c r="G135" s="44">
        <f>VaR_PARAMÉTRICO!B12*E135</f>
        <v/>
      </c>
      <c r="H135" s="57">
        <f>G135*PARÂMETROS!B24</f>
        <v/>
      </c>
    </row>
    <row r="136" ht="16" customHeight="1">
      <c r="A136" s="38" t="n">
        <v>44749</v>
      </c>
      <c r="B136" s="69">
        <f>RETORNOS_HIST!C136</f>
        <v/>
      </c>
      <c r="C136" s="42">
        <f>B136^2</f>
        <v/>
      </c>
      <c r="D136" s="42">
        <f>PARÂMETROS!B21*D135+(1-PARÂMETROS!B21)*C135</f>
        <v/>
      </c>
      <c r="E136" s="40">
        <f>SQRT(D136)</f>
        <v/>
      </c>
      <c r="F136" s="41">
        <f>E136*SQRT(PARÂMETROS!B10)</f>
        <v/>
      </c>
      <c r="G136" s="41">
        <f>VaR_PARAMÉTRICO!B12*E136</f>
        <v/>
      </c>
      <c r="H136" s="59">
        <f>G136*PARÂMETROS!B24</f>
        <v/>
      </c>
    </row>
    <row r="137" ht="16" customHeight="1">
      <c r="A137" s="35" t="n">
        <v>44750</v>
      </c>
      <c r="B137" s="68">
        <f>RETORNOS_HIST!C137</f>
        <v/>
      </c>
      <c r="C137" s="45">
        <f>B137^2</f>
        <v/>
      </c>
      <c r="D137" s="45">
        <f>PARÂMETROS!B21*D136+(1-PARÂMETROS!B21)*C136</f>
        <v/>
      </c>
      <c r="E137" s="43">
        <f>SQRT(D137)</f>
        <v/>
      </c>
      <c r="F137" s="44">
        <f>E137*SQRT(PARÂMETROS!B10)</f>
        <v/>
      </c>
      <c r="G137" s="44">
        <f>VaR_PARAMÉTRICO!B12*E137</f>
        <v/>
      </c>
      <c r="H137" s="57">
        <f>G137*PARÂMETROS!B24</f>
        <v/>
      </c>
    </row>
    <row r="138" ht="16" customHeight="1">
      <c r="A138" s="38" t="n">
        <v>44753</v>
      </c>
      <c r="B138" s="69">
        <f>RETORNOS_HIST!C138</f>
        <v/>
      </c>
      <c r="C138" s="42">
        <f>B138^2</f>
        <v/>
      </c>
      <c r="D138" s="42">
        <f>PARÂMETROS!B21*D137+(1-PARÂMETROS!B21)*C137</f>
        <v/>
      </c>
      <c r="E138" s="40">
        <f>SQRT(D138)</f>
        <v/>
      </c>
      <c r="F138" s="41">
        <f>E138*SQRT(PARÂMETROS!B10)</f>
        <v/>
      </c>
      <c r="G138" s="41">
        <f>VaR_PARAMÉTRICO!B12*E138</f>
        <v/>
      </c>
      <c r="H138" s="59">
        <f>G138*PARÂMETROS!B24</f>
        <v/>
      </c>
    </row>
    <row r="139" ht="16" customHeight="1">
      <c r="A139" s="35" t="n">
        <v>44754</v>
      </c>
      <c r="B139" s="68">
        <f>RETORNOS_HIST!C139</f>
        <v/>
      </c>
      <c r="C139" s="45">
        <f>B139^2</f>
        <v/>
      </c>
      <c r="D139" s="45">
        <f>PARÂMETROS!B21*D138+(1-PARÂMETROS!B21)*C138</f>
        <v/>
      </c>
      <c r="E139" s="43">
        <f>SQRT(D139)</f>
        <v/>
      </c>
      <c r="F139" s="44">
        <f>E139*SQRT(PARÂMETROS!B10)</f>
        <v/>
      </c>
      <c r="G139" s="44">
        <f>VaR_PARAMÉTRICO!B12*E139</f>
        <v/>
      </c>
      <c r="H139" s="57">
        <f>G139*PARÂMETROS!B24</f>
        <v/>
      </c>
    </row>
    <row r="140" ht="16" customHeight="1">
      <c r="A140" s="38" t="n">
        <v>44755</v>
      </c>
      <c r="B140" s="69">
        <f>RETORNOS_HIST!C140</f>
        <v/>
      </c>
      <c r="C140" s="42">
        <f>B140^2</f>
        <v/>
      </c>
      <c r="D140" s="42">
        <f>PARÂMETROS!B21*D139+(1-PARÂMETROS!B21)*C139</f>
        <v/>
      </c>
      <c r="E140" s="40">
        <f>SQRT(D140)</f>
        <v/>
      </c>
      <c r="F140" s="41">
        <f>E140*SQRT(PARÂMETROS!B10)</f>
        <v/>
      </c>
      <c r="G140" s="41">
        <f>VaR_PARAMÉTRICO!B12*E140</f>
        <v/>
      </c>
      <c r="H140" s="59">
        <f>G140*PARÂMETROS!B24</f>
        <v/>
      </c>
    </row>
    <row r="141" ht="16" customHeight="1">
      <c r="A141" s="35" t="n">
        <v>44756</v>
      </c>
      <c r="B141" s="68">
        <f>RETORNOS_HIST!C141</f>
        <v/>
      </c>
      <c r="C141" s="45">
        <f>B141^2</f>
        <v/>
      </c>
      <c r="D141" s="45">
        <f>PARÂMETROS!B21*D140+(1-PARÂMETROS!B21)*C140</f>
        <v/>
      </c>
      <c r="E141" s="43">
        <f>SQRT(D141)</f>
        <v/>
      </c>
      <c r="F141" s="44">
        <f>E141*SQRT(PARÂMETROS!B10)</f>
        <v/>
      </c>
      <c r="G141" s="44">
        <f>VaR_PARAMÉTRICO!B12*E141</f>
        <v/>
      </c>
      <c r="H141" s="57">
        <f>G141*PARÂMETROS!B24</f>
        <v/>
      </c>
    </row>
    <row r="142" ht="16" customHeight="1">
      <c r="A142" s="38" t="n">
        <v>44757</v>
      </c>
      <c r="B142" s="69">
        <f>RETORNOS_HIST!C142</f>
        <v/>
      </c>
      <c r="C142" s="42">
        <f>B142^2</f>
        <v/>
      </c>
      <c r="D142" s="42">
        <f>PARÂMETROS!B21*D141+(1-PARÂMETROS!B21)*C141</f>
        <v/>
      </c>
      <c r="E142" s="40">
        <f>SQRT(D142)</f>
        <v/>
      </c>
      <c r="F142" s="41">
        <f>E142*SQRT(PARÂMETROS!B10)</f>
        <v/>
      </c>
      <c r="G142" s="41">
        <f>VaR_PARAMÉTRICO!B12*E142</f>
        <v/>
      </c>
      <c r="H142" s="59">
        <f>G142*PARÂMETROS!B24</f>
        <v/>
      </c>
    </row>
    <row r="143" ht="16" customHeight="1">
      <c r="A143" s="35" t="n">
        <v>44760</v>
      </c>
      <c r="B143" s="68">
        <f>RETORNOS_HIST!C143</f>
        <v/>
      </c>
      <c r="C143" s="45">
        <f>B143^2</f>
        <v/>
      </c>
      <c r="D143" s="45">
        <f>PARÂMETROS!B21*D142+(1-PARÂMETROS!B21)*C142</f>
        <v/>
      </c>
      <c r="E143" s="43">
        <f>SQRT(D143)</f>
        <v/>
      </c>
      <c r="F143" s="44">
        <f>E143*SQRT(PARÂMETROS!B10)</f>
        <v/>
      </c>
      <c r="G143" s="44">
        <f>VaR_PARAMÉTRICO!B12*E143</f>
        <v/>
      </c>
      <c r="H143" s="57">
        <f>G143*PARÂMETROS!B24</f>
        <v/>
      </c>
    </row>
    <row r="144" ht="16" customHeight="1">
      <c r="A144" s="38" t="n">
        <v>44761</v>
      </c>
      <c r="B144" s="69">
        <f>RETORNOS_HIST!C144</f>
        <v/>
      </c>
      <c r="C144" s="42">
        <f>B144^2</f>
        <v/>
      </c>
      <c r="D144" s="42">
        <f>PARÂMETROS!B21*D143+(1-PARÂMETROS!B21)*C143</f>
        <v/>
      </c>
      <c r="E144" s="40">
        <f>SQRT(D144)</f>
        <v/>
      </c>
      <c r="F144" s="41">
        <f>E144*SQRT(PARÂMETROS!B10)</f>
        <v/>
      </c>
      <c r="G144" s="41">
        <f>VaR_PARAMÉTRICO!B12*E144</f>
        <v/>
      </c>
      <c r="H144" s="59">
        <f>G144*PARÂMETROS!B24</f>
        <v/>
      </c>
    </row>
    <row r="145" ht="16" customHeight="1">
      <c r="A145" s="35" t="n">
        <v>44762</v>
      </c>
      <c r="B145" s="68">
        <f>RETORNOS_HIST!C145</f>
        <v/>
      </c>
      <c r="C145" s="45">
        <f>B145^2</f>
        <v/>
      </c>
      <c r="D145" s="45">
        <f>PARÂMETROS!B21*D144+(1-PARÂMETROS!B21)*C144</f>
        <v/>
      </c>
      <c r="E145" s="43">
        <f>SQRT(D145)</f>
        <v/>
      </c>
      <c r="F145" s="44">
        <f>E145*SQRT(PARÂMETROS!B10)</f>
        <v/>
      </c>
      <c r="G145" s="44">
        <f>VaR_PARAMÉTRICO!B12*E145</f>
        <v/>
      </c>
      <c r="H145" s="57">
        <f>G145*PARÂMETROS!B24</f>
        <v/>
      </c>
    </row>
    <row r="146" ht="16" customHeight="1">
      <c r="A146" s="38" t="n">
        <v>44763</v>
      </c>
      <c r="B146" s="69">
        <f>RETORNOS_HIST!C146</f>
        <v/>
      </c>
      <c r="C146" s="42">
        <f>B146^2</f>
        <v/>
      </c>
      <c r="D146" s="42">
        <f>PARÂMETROS!B21*D145+(1-PARÂMETROS!B21)*C145</f>
        <v/>
      </c>
      <c r="E146" s="40">
        <f>SQRT(D146)</f>
        <v/>
      </c>
      <c r="F146" s="41">
        <f>E146*SQRT(PARÂMETROS!B10)</f>
        <v/>
      </c>
      <c r="G146" s="41">
        <f>VaR_PARAMÉTRICO!B12*E146</f>
        <v/>
      </c>
      <c r="H146" s="59">
        <f>G146*PARÂMETROS!B24</f>
        <v/>
      </c>
    </row>
    <row r="147" ht="16" customHeight="1">
      <c r="A147" s="35" t="n">
        <v>44764</v>
      </c>
      <c r="B147" s="68">
        <f>RETORNOS_HIST!C147</f>
        <v/>
      </c>
      <c r="C147" s="45">
        <f>B147^2</f>
        <v/>
      </c>
      <c r="D147" s="45">
        <f>PARÂMETROS!B21*D146+(1-PARÂMETROS!B21)*C146</f>
        <v/>
      </c>
      <c r="E147" s="43">
        <f>SQRT(D147)</f>
        <v/>
      </c>
      <c r="F147" s="44">
        <f>E147*SQRT(PARÂMETROS!B10)</f>
        <v/>
      </c>
      <c r="G147" s="44">
        <f>VaR_PARAMÉTRICO!B12*E147</f>
        <v/>
      </c>
      <c r="H147" s="57">
        <f>G147*PARÂMETROS!B24</f>
        <v/>
      </c>
    </row>
    <row r="148" ht="16" customHeight="1">
      <c r="A148" s="38" t="n">
        <v>44767</v>
      </c>
      <c r="B148" s="69">
        <f>RETORNOS_HIST!C148</f>
        <v/>
      </c>
      <c r="C148" s="42">
        <f>B148^2</f>
        <v/>
      </c>
      <c r="D148" s="42">
        <f>PARÂMETROS!B21*D147+(1-PARÂMETROS!B21)*C147</f>
        <v/>
      </c>
      <c r="E148" s="40">
        <f>SQRT(D148)</f>
        <v/>
      </c>
      <c r="F148" s="41">
        <f>E148*SQRT(PARÂMETROS!B10)</f>
        <v/>
      </c>
      <c r="G148" s="41">
        <f>VaR_PARAMÉTRICO!B12*E148</f>
        <v/>
      </c>
      <c r="H148" s="59">
        <f>G148*PARÂMETROS!B24</f>
        <v/>
      </c>
    </row>
    <row r="149" ht="16" customHeight="1">
      <c r="A149" s="35" t="n">
        <v>44768</v>
      </c>
      <c r="B149" s="68">
        <f>RETORNOS_HIST!C149</f>
        <v/>
      </c>
      <c r="C149" s="45">
        <f>B149^2</f>
        <v/>
      </c>
      <c r="D149" s="45">
        <f>PARÂMETROS!B21*D148+(1-PARÂMETROS!B21)*C148</f>
        <v/>
      </c>
      <c r="E149" s="43">
        <f>SQRT(D149)</f>
        <v/>
      </c>
      <c r="F149" s="44">
        <f>E149*SQRT(PARÂMETROS!B10)</f>
        <v/>
      </c>
      <c r="G149" s="44">
        <f>VaR_PARAMÉTRICO!B12*E149</f>
        <v/>
      </c>
      <c r="H149" s="57">
        <f>G149*PARÂMETROS!B24</f>
        <v/>
      </c>
    </row>
    <row r="150" ht="16" customHeight="1">
      <c r="A150" s="38" t="n">
        <v>44769</v>
      </c>
      <c r="B150" s="69">
        <f>RETORNOS_HIST!C150</f>
        <v/>
      </c>
      <c r="C150" s="42">
        <f>B150^2</f>
        <v/>
      </c>
      <c r="D150" s="42">
        <f>PARÂMETROS!B21*D149+(1-PARÂMETROS!B21)*C149</f>
        <v/>
      </c>
      <c r="E150" s="40">
        <f>SQRT(D150)</f>
        <v/>
      </c>
      <c r="F150" s="41">
        <f>E150*SQRT(PARÂMETROS!B10)</f>
        <v/>
      </c>
      <c r="G150" s="41">
        <f>VaR_PARAMÉTRICO!B12*E150</f>
        <v/>
      </c>
      <c r="H150" s="59">
        <f>G150*PARÂMETROS!B24</f>
        <v/>
      </c>
    </row>
    <row r="151" ht="16" customHeight="1">
      <c r="A151" s="35" t="n">
        <v>44770</v>
      </c>
      <c r="B151" s="68">
        <f>RETORNOS_HIST!C151</f>
        <v/>
      </c>
      <c r="C151" s="45">
        <f>B151^2</f>
        <v/>
      </c>
      <c r="D151" s="45">
        <f>PARÂMETROS!B21*D150+(1-PARÂMETROS!B21)*C150</f>
        <v/>
      </c>
      <c r="E151" s="43">
        <f>SQRT(D151)</f>
        <v/>
      </c>
      <c r="F151" s="44">
        <f>E151*SQRT(PARÂMETROS!B10)</f>
        <v/>
      </c>
      <c r="G151" s="44">
        <f>VaR_PARAMÉTRICO!B12*E151</f>
        <v/>
      </c>
      <c r="H151" s="57">
        <f>G151*PARÂMETROS!B24</f>
        <v/>
      </c>
    </row>
    <row r="152" ht="16" customHeight="1">
      <c r="A152" s="38" t="n">
        <v>44771</v>
      </c>
      <c r="B152" s="69">
        <f>RETORNOS_HIST!C152</f>
        <v/>
      </c>
      <c r="C152" s="42">
        <f>B152^2</f>
        <v/>
      </c>
      <c r="D152" s="42">
        <f>PARÂMETROS!B21*D151+(1-PARÂMETROS!B21)*C151</f>
        <v/>
      </c>
      <c r="E152" s="40">
        <f>SQRT(D152)</f>
        <v/>
      </c>
      <c r="F152" s="41">
        <f>E152*SQRT(PARÂMETROS!B10)</f>
        <v/>
      </c>
      <c r="G152" s="41">
        <f>VaR_PARAMÉTRICO!B12*E152</f>
        <v/>
      </c>
      <c r="H152" s="59">
        <f>G152*PARÂMETROS!B24</f>
        <v/>
      </c>
    </row>
    <row r="153" ht="16" customHeight="1">
      <c r="A153" s="35" t="n">
        <v>44774</v>
      </c>
      <c r="B153" s="68">
        <f>RETORNOS_HIST!C153</f>
        <v/>
      </c>
      <c r="C153" s="45">
        <f>B153^2</f>
        <v/>
      </c>
      <c r="D153" s="45">
        <f>PARÂMETROS!B21*D152+(1-PARÂMETROS!B21)*C152</f>
        <v/>
      </c>
      <c r="E153" s="43">
        <f>SQRT(D153)</f>
        <v/>
      </c>
      <c r="F153" s="44">
        <f>E153*SQRT(PARÂMETROS!B10)</f>
        <v/>
      </c>
      <c r="G153" s="44">
        <f>VaR_PARAMÉTRICO!B12*E153</f>
        <v/>
      </c>
      <c r="H153" s="57">
        <f>G153*PARÂMETROS!B24</f>
        <v/>
      </c>
    </row>
    <row r="154" ht="16" customHeight="1">
      <c r="A154" s="38" t="n">
        <v>44775</v>
      </c>
      <c r="B154" s="69">
        <f>RETORNOS_HIST!C154</f>
        <v/>
      </c>
      <c r="C154" s="42">
        <f>B154^2</f>
        <v/>
      </c>
      <c r="D154" s="42">
        <f>PARÂMETROS!B21*D153+(1-PARÂMETROS!B21)*C153</f>
        <v/>
      </c>
      <c r="E154" s="40">
        <f>SQRT(D154)</f>
        <v/>
      </c>
      <c r="F154" s="41">
        <f>E154*SQRT(PARÂMETROS!B10)</f>
        <v/>
      </c>
      <c r="G154" s="41">
        <f>VaR_PARAMÉTRICO!B12*E154</f>
        <v/>
      </c>
      <c r="H154" s="59">
        <f>G154*PARÂMETROS!B24</f>
        <v/>
      </c>
    </row>
    <row r="155" ht="16" customHeight="1">
      <c r="A155" s="35" t="n">
        <v>44776</v>
      </c>
      <c r="B155" s="68">
        <f>RETORNOS_HIST!C155</f>
        <v/>
      </c>
      <c r="C155" s="45">
        <f>B155^2</f>
        <v/>
      </c>
      <c r="D155" s="45">
        <f>PARÂMETROS!B21*D154+(1-PARÂMETROS!B21)*C154</f>
        <v/>
      </c>
      <c r="E155" s="43">
        <f>SQRT(D155)</f>
        <v/>
      </c>
      <c r="F155" s="44">
        <f>E155*SQRT(PARÂMETROS!B10)</f>
        <v/>
      </c>
      <c r="G155" s="44">
        <f>VaR_PARAMÉTRICO!B12*E155</f>
        <v/>
      </c>
      <c r="H155" s="57">
        <f>G155*PARÂMETROS!B24</f>
        <v/>
      </c>
    </row>
    <row r="156" ht="16" customHeight="1">
      <c r="A156" s="38" t="n">
        <v>44777</v>
      </c>
      <c r="B156" s="69">
        <f>RETORNOS_HIST!C156</f>
        <v/>
      </c>
      <c r="C156" s="42">
        <f>B156^2</f>
        <v/>
      </c>
      <c r="D156" s="42">
        <f>PARÂMETROS!B21*D155+(1-PARÂMETROS!B21)*C155</f>
        <v/>
      </c>
      <c r="E156" s="40">
        <f>SQRT(D156)</f>
        <v/>
      </c>
      <c r="F156" s="41">
        <f>E156*SQRT(PARÂMETROS!B10)</f>
        <v/>
      </c>
      <c r="G156" s="41">
        <f>VaR_PARAMÉTRICO!B12*E156</f>
        <v/>
      </c>
      <c r="H156" s="59">
        <f>G156*PARÂMETROS!B24</f>
        <v/>
      </c>
    </row>
    <row r="157" ht="16" customHeight="1">
      <c r="A157" s="35" t="n">
        <v>44778</v>
      </c>
      <c r="B157" s="68">
        <f>RETORNOS_HIST!C157</f>
        <v/>
      </c>
      <c r="C157" s="45">
        <f>B157^2</f>
        <v/>
      </c>
      <c r="D157" s="45">
        <f>PARÂMETROS!B21*D156+(1-PARÂMETROS!B21)*C156</f>
        <v/>
      </c>
      <c r="E157" s="43">
        <f>SQRT(D157)</f>
        <v/>
      </c>
      <c r="F157" s="44">
        <f>E157*SQRT(PARÂMETROS!B10)</f>
        <v/>
      </c>
      <c r="G157" s="44">
        <f>VaR_PARAMÉTRICO!B12*E157</f>
        <v/>
      </c>
      <c r="H157" s="57">
        <f>G157*PARÂMETROS!B24</f>
        <v/>
      </c>
    </row>
    <row r="158" ht="16" customHeight="1">
      <c r="A158" s="38" t="n">
        <v>44781</v>
      </c>
      <c r="B158" s="69">
        <f>RETORNOS_HIST!C158</f>
        <v/>
      </c>
      <c r="C158" s="42">
        <f>B158^2</f>
        <v/>
      </c>
      <c r="D158" s="42">
        <f>PARÂMETROS!B21*D157+(1-PARÂMETROS!B21)*C157</f>
        <v/>
      </c>
      <c r="E158" s="40">
        <f>SQRT(D158)</f>
        <v/>
      </c>
      <c r="F158" s="41">
        <f>E158*SQRT(PARÂMETROS!B10)</f>
        <v/>
      </c>
      <c r="G158" s="41">
        <f>VaR_PARAMÉTRICO!B12*E158</f>
        <v/>
      </c>
      <c r="H158" s="59">
        <f>G158*PARÂMETROS!B24</f>
        <v/>
      </c>
    </row>
    <row r="159" ht="16" customHeight="1">
      <c r="A159" s="35" t="n">
        <v>44782</v>
      </c>
      <c r="B159" s="68">
        <f>RETORNOS_HIST!C159</f>
        <v/>
      </c>
      <c r="C159" s="45">
        <f>B159^2</f>
        <v/>
      </c>
      <c r="D159" s="45">
        <f>PARÂMETROS!B21*D158+(1-PARÂMETROS!B21)*C158</f>
        <v/>
      </c>
      <c r="E159" s="43">
        <f>SQRT(D159)</f>
        <v/>
      </c>
      <c r="F159" s="44">
        <f>E159*SQRT(PARÂMETROS!B10)</f>
        <v/>
      </c>
      <c r="G159" s="44">
        <f>VaR_PARAMÉTRICO!B12*E159</f>
        <v/>
      </c>
      <c r="H159" s="57">
        <f>G159*PARÂMETROS!B24</f>
        <v/>
      </c>
    </row>
    <row r="160" ht="16" customHeight="1">
      <c r="A160" s="38" t="n">
        <v>44783</v>
      </c>
      <c r="B160" s="69">
        <f>RETORNOS_HIST!C160</f>
        <v/>
      </c>
      <c r="C160" s="42">
        <f>B160^2</f>
        <v/>
      </c>
      <c r="D160" s="42">
        <f>PARÂMETROS!B21*D159+(1-PARÂMETROS!B21)*C159</f>
        <v/>
      </c>
      <c r="E160" s="40">
        <f>SQRT(D160)</f>
        <v/>
      </c>
      <c r="F160" s="41">
        <f>E160*SQRT(PARÂMETROS!B10)</f>
        <v/>
      </c>
      <c r="G160" s="41">
        <f>VaR_PARAMÉTRICO!B12*E160</f>
        <v/>
      </c>
      <c r="H160" s="59">
        <f>G160*PARÂMETROS!B24</f>
        <v/>
      </c>
    </row>
    <row r="161" ht="16" customHeight="1">
      <c r="A161" s="35" t="n">
        <v>44784</v>
      </c>
      <c r="B161" s="68">
        <f>RETORNOS_HIST!C161</f>
        <v/>
      </c>
      <c r="C161" s="45">
        <f>B161^2</f>
        <v/>
      </c>
      <c r="D161" s="45">
        <f>PARÂMETROS!B21*D160+(1-PARÂMETROS!B21)*C160</f>
        <v/>
      </c>
      <c r="E161" s="43">
        <f>SQRT(D161)</f>
        <v/>
      </c>
      <c r="F161" s="44">
        <f>E161*SQRT(PARÂMETROS!B10)</f>
        <v/>
      </c>
      <c r="G161" s="44">
        <f>VaR_PARAMÉTRICO!B12*E161</f>
        <v/>
      </c>
      <c r="H161" s="57">
        <f>G161*PARÂMETROS!B24</f>
        <v/>
      </c>
    </row>
    <row r="162" ht="16" customHeight="1">
      <c r="A162" s="38" t="n">
        <v>44785</v>
      </c>
      <c r="B162" s="69">
        <f>RETORNOS_HIST!C162</f>
        <v/>
      </c>
      <c r="C162" s="42">
        <f>B162^2</f>
        <v/>
      </c>
      <c r="D162" s="42">
        <f>PARÂMETROS!B21*D161+(1-PARÂMETROS!B21)*C161</f>
        <v/>
      </c>
      <c r="E162" s="40">
        <f>SQRT(D162)</f>
        <v/>
      </c>
      <c r="F162" s="41">
        <f>E162*SQRT(PARÂMETROS!B10)</f>
        <v/>
      </c>
      <c r="G162" s="41">
        <f>VaR_PARAMÉTRICO!B12*E162</f>
        <v/>
      </c>
      <c r="H162" s="59">
        <f>G162*PARÂMETROS!B24</f>
        <v/>
      </c>
    </row>
    <row r="163" ht="16" customHeight="1">
      <c r="A163" s="35" t="n">
        <v>44788</v>
      </c>
      <c r="B163" s="68">
        <f>RETORNOS_HIST!C163</f>
        <v/>
      </c>
      <c r="C163" s="45">
        <f>B163^2</f>
        <v/>
      </c>
      <c r="D163" s="45">
        <f>PARÂMETROS!B21*D162+(1-PARÂMETROS!B21)*C162</f>
        <v/>
      </c>
      <c r="E163" s="43">
        <f>SQRT(D163)</f>
        <v/>
      </c>
      <c r="F163" s="44">
        <f>E163*SQRT(PARÂMETROS!B10)</f>
        <v/>
      </c>
      <c r="G163" s="44">
        <f>VaR_PARAMÉTRICO!B12*E163</f>
        <v/>
      </c>
      <c r="H163" s="57">
        <f>G163*PARÂMETROS!B24</f>
        <v/>
      </c>
    </row>
    <row r="164" ht="16" customHeight="1">
      <c r="A164" s="38" t="n">
        <v>44789</v>
      </c>
      <c r="B164" s="69">
        <f>RETORNOS_HIST!C164</f>
        <v/>
      </c>
      <c r="C164" s="42">
        <f>B164^2</f>
        <v/>
      </c>
      <c r="D164" s="42">
        <f>PARÂMETROS!B21*D163+(1-PARÂMETROS!B21)*C163</f>
        <v/>
      </c>
      <c r="E164" s="40">
        <f>SQRT(D164)</f>
        <v/>
      </c>
      <c r="F164" s="41">
        <f>E164*SQRT(PARÂMETROS!B10)</f>
        <v/>
      </c>
      <c r="G164" s="41">
        <f>VaR_PARAMÉTRICO!B12*E164</f>
        <v/>
      </c>
      <c r="H164" s="59">
        <f>G164*PARÂMETROS!B24</f>
        <v/>
      </c>
    </row>
    <row r="165" ht="16" customHeight="1">
      <c r="A165" s="35" t="n">
        <v>44790</v>
      </c>
      <c r="B165" s="68">
        <f>RETORNOS_HIST!C165</f>
        <v/>
      </c>
      <c r="C165" s="45">
        <f>B165^2</f>
        <v/>
      </c>
      <c r="D165" s="45">
        <f>PARÂMETROS!B21*D164+(1-PARÂMETROS!B21)*C164</f>
        <v/>
      </c>
      <c r="E165" s="43">
        <f>SQRT(D165)</f>
        <v/>
      </c>
      <c r="F165" s="44">
        <f>E165*SQRT(PARÂMETROS!B10)</f>
        <v/>
      </c>
      <c r="G165" s="44">
        <f>VaR_PARAMÉTRICO!B12*E165</f>
        <v/>
      </c>
      <c r="H165" s="57">
        <f>G165*PARÂMETROS!B24</f>
        <v/>
      </c>
    </row>
    <row r="166" ht="16" customHeight="1">
      <c r="A166" s="38" t="n">
        <v>44791</v>
      </c>
      <c r="B166" s="69">
        <f>RETORNOS_HIST!C166</f>
        <v/>
      </c>
      <c r="C166" s="42">
        <f>B166^2</f>
        <v/>
      </c>
      <c r="D166" s="42">
        <f>PARÂMETROS!B21*D165+(1-PARÂMETROS!B21)*C165</f>
        <v/>
      </c>
      <c r="E166" s="40">
        <f>SQRT(D166)</f>
        <v/>
      </c>
      <c r="F166" s="41">
        <f>E166*SQRT(PARÂMETROS!B10)</f>
        <v/>
      </c>
      <c r="G166" s="41">
        <f>VaR_PARAMÉTRICO!B12*E166</f>
        <v/>
      </c>
      <c r="H166" s="59">
        <f>G166*PARÂMETROS!B24</f>
        <v/>
      </c>
    </row>
    <row r="167" ht="16" customHeight="1">
      <c r="A167" s="35" t="n">
        <v>44792</v>
      </c>
      <c r="B167" s="68">
        <f>RETORNOS_HIST!C167</f>
        <v/>
      </c>
      <c r="C167" s="45">
        <f>B167^2</f>
        <v/>
      </c>
      <c r="D167" s="45">
        <f>PARÂMETROS!B21*D166+(1-PARÂMETROS!B21)*C166</f>
        <v/>
      </c>
      <c r="E167" s="43">
        <f>SQRT(D167)</f>
        <v/>
      </c>
      <c r="F167" s="44">
        <f>E167*SQRT(PARÂMETROS!B10)</f>
        <v/>
      </c>
      <c r="G167" s="44">
        <f>VaR_PARAMÉTRICO!B12*E167</f>
        <v/>
      </c>
      <c r="H167" s="57">
        <f>G167*PARÂMETROS!B24</f>
        <v/>
      </c>
    </row>
    <row r="168" ht="16" customHeight="1">
      <c r="A168" s="38" t="n">
        <v>44795</v>
      </c>
      <c r="B168" s="69">
        <f>RETORNOS_HIST!C168</f>
        <v/>
      </c>
      <c r="C168" s="42">
        <f>B168^2</f>
        <v/>
      </c>
      <c r="D168" s="42">
        <f>PARÂMETROS!B21*D167+(1-PARÂMETROS!B21)*C167</f>
        <v/>
      </c>
      <c r="E168" s="40">
        <f>SQRT(D168)</f>
        <v/>
      </c>
      <c r="F168" s="41">
        <f>E168*SQRT(PARÂMETROS!B10)</f>
        <v/>
      </c>
      <c r="G168" s="41">
        <f>VaR_PARAMÉTRICO!B12*E168</f>
        <v/>
      </c>
      <c r="H168" s="59">
        <f>G168*PARÂMETROS!B24</f>
        <v/>
      </c>
    </row>
    <row r="169" ht="16" customHeight="1">
      <c r="A169" s="35" t="n">
        <v>44796</v>
      </c>
      <c r="B169" s="68">
        <f>RETORNOS_HIST!C169</f>
        <v/>
      </c>
      <c r="C169" s="45">
        <f>B169^2</f>
        <v/>
      </c>
      <c r="D169" s="45">
        <f>PARÂMETROS!B21*D168+(1-PARÂMETROS!B21)*C168</f>
        <v/>
      </c>
      <c r="E169" s="43">
        <f>SQRT(D169)</f>
        <v/>
      </c>
      <c r="F169" s="44">
        <f>E169*SQRT(PARÂMETROS!B10)</f>
        <v/>
      </c>
      <c r="G169" s="44">
        <f>VaR_PARAMÉTRICO!B12*E169</f>
        <v/>
      </c>
      <c r="H169" s="57">
        <f>G169*PARÂMETROS!B24</f>
        <v/>
      </c>
    </row>
    <row r="170" ht="16" customHeight="1">
      <c r="A170" s="38" t="n">
        <v>44797</v>
      </c>
      <c r="B170" s="69">
        <f>RETORNOS_HIST!C170</f>
        <v/>
      </c>
      <c r="C170" s="42">
        <f>B170^2</f>
        <v/>
      </c>
      <c r="D170" s="42">
        <f>PARÂMETROS!B21*D169+(1-PARÂMETROS!B21)*C169</f>
        <v/>
      </c>
      <c r="E170" s="40">
        <f>SQRT(D170)</f>
        <v/>
      </c>
      <c r="F170" s="41">
        <f>E170*SQRT(PARÂMETROS!B10)</f>
        <v/>
      </c>
      <c r="G170" s="41">
        <f>VaR_PARAMÉTRICO!B12*E170</f>
        <v/>
      </c>
      <c r="H170" s="59">
        <f>G170*PARÂMETROS!B24</f>
        <v/>
      </c>
    </row>
    <row r="171" ht="16" customHeight="1">
      <c r="A171" s="35" t="n">
        <v>44798</v>
      </c>
      <c r="B171" s="68">
        <f>RETORNOS_HIST!C171</f>
        <v/>
      </c>
      <c r="C171" s="45">
        <f>B171^2</f>
        <v/>
      </c>
      <c r="D171" s="45">
        <f>PARÂMETROS!B21*D170+(1-PARÂMETROS!B21)*C170</f>
        <v/>
      </c>
      <c r="E171" s="43">
        <f>SQRT(D171)</f>
        <v/>
      </c>
      <c r="F171" s="44">
        <f>E171*SQRT(PARÂMETROS!B10)</f>
        <v/>
      </c>
      <c r="G171" s="44">
        <f>VaR_PARAMÉTRICO!B12*E171</f>
        <v/>
      </c>
      <c r="H171" s="57">
        <f>G171*PARÂMETROS!B24</f>
        <v/>
      </c>
    </row>
    <row r="172" ht="16" customHeight="1">
      <c r="A172" s="38" t="n">
        <v>44799</v>
      </c>
      <c r="B172" s="69">
        <f>RETORNOS_HIST!C172</f>
        <v/>
      </c>
      <c r="C172" s="42">
        <f>B172^2</f>
        <v/>
      </c>
      <c r="D172" s="42">
        <f>PARÂMETROS!B21*D171+(1-PARÂMETROS!B21)*C171</f>
        <v/>
      </c>
      <c r="E172" s="40">
        <f>SQRT(D172)</f>
        <v/>
      </c>
      <c r="F172" s="41">
        <f>E172*SQRT(PARÂMETROS!B10)</f>
        <v/>
      </c>
      <c r="G172" s="41">
        <f>VaR_PARAMÉTRICO!B12*E172</f>
        <v/>
      </c>
      <c r="H172" s="59">
        <f>G172*PARÂMETROS!B24</f>
        <v/>
      </c>
    </row>
    <row r="173" ht="16" customHeight="1">
      <c r="A173" s="35" t="n">
        <v>44802</v>
      </c>
      <c r="B173" s="68">
        <f>RETORNOS_HIST!C173</f>
        <v/>
      </c>
      <c r="C173" s="45">
        <f>B173^2</f>
        <v/>
      </c>
      <c r="D173" s="45">
        <f>PARÂMETROS!B21*D172+(1-PARÂMETROS!B21)*C172</f>
        <v/>
      </c>
      <c r="E173" s="43">
        <f>SQRT(D173)</f>
        <v/>
      </c>
      <c r="F173" s="44">
        <f>E173*SQRT(PARÂMETROS!B10)</f>
        <v/>
      </c>
      <c r="G173" s="44">
        <f>VaR_PARAMÉTRICO!B12*E173</f>
        <v/>
      </c>
      <c r="H173" s="57">
        <f>G173*PARÂMETROS!B24</f>
        <v/>
      </c>
    </row>
    <row r="174" ht="16" customHeight="1">
      <c r="A174" s="38" t="n">
        <v>44803</v>
      </c>
      <c r="B174" s="69">
        <f>RETORNOS_HIST!C174</f>
        <v/>
      </c>
      <c r="C174" s="42">
        <f>B174^2</f>
        <v/>
      </c>
      <c r="D174" s="42">
        <f>PARÂMETROS!B21*D173+(1-PARÂMETROS!B21)*C173</f>
        <v/>
      </c>
      <c r="E174" s="40">
        <f>SQRT(D174)</f>
        <v/>
      </c>
      <c r="F174" s="41">
        <f>E174*SQRT(PARÂMETROS!B10)</f>
        <v/>
      </c>
      <c r="G174" s="41">
        <f>VaR_PARAMÉTRICO!B12*E174</f>
        <v/>
      </c>
      <c r="H174" s="59">
        <f>G174*PARÂMETROS!B24</f>
        <v/>
      </c>
    </row>
    <row r="175" ht="16" customHeight="1">
      <c r="A175" s="35" t="n">
        <v>44804</v>
      </c>
      <c r="B175" s="68">
        <f>RETORNOS_HIST!C175</f>
        <v/>
      </c>
      <c r="C175" s="45">
        <f>B175^2</f>
        <v/>
      </c>
      <c r="D175" s="45">
        <f>PARÂMETROS!B21*D174+(1-PARÂMETROS!B21)*C174</f>
        <v/>
      </c>
      <c r="E175" s="43">
        <f>SQRT(D175)</f>
        <v/>
      </c>
      <c r="F175" s="44">
        <f>E175*SQRT(PARÂMETROS!B10)</f>
        <v/>
      </c>
      <c r="G175" s="44">
        <f>VaR_PARAMÉTRICO!B12*E175</f>
        <v/>
      </c>
      <c r="H175" s="57">
        <f>G175*PARÂMETROS!B24</f>
        <v/>
      </c>
    </row>
    <row r="176" ht="16" customHeight="1">
      <c r="A176" s="38" t="n">
        <v>44805</v>
      </c>
      <c r="B176" s="69">
        <f>RETORNOS_HIST!C176</f>
        <v/>
      </c>
      <c r="C176" s="42">
        <f>B176^2</f>
        <v/>
      </c>
      <c r="D176" s="42">
        <f>PARÂMETROS!B21*D175+(1-PARÂMETROS!B21)*C175</f>
        <v/>
      </c>
      <c r="E176" s="40">
        <f>SQRT(D176)</f>
        <v/>
      </c>
      <c r="F176" s="41">
        <f>E176*SQRT(PARÂMETROS!B10)</f>
        <v/>
      </c>
      <c r="G176" s="41">
        <f>VaR_PARAMÉTRICO!B12*E176</f>
        <v/>
      </c>
      <c r="H176" s="59">
        <f>G176*PARÂMETROS!B24</f>
        <v/>
      </c>
    </row>
    <row r="177" ht="16" customHeight="1">
      <c r="A177" s="35" t="n">
        <v>44806</v>
      </c>
      <c r="B177" s="68">
        <f>RETORNOS_HIST!C177</f>
        <v/>
      </c>
      <c r="C177" s="45">
        <f>B177^2</f>
        <v/>
      </c>
      <c r="D177" s="45">
        <f>PARÂMETROS!B21*D176+(1-PARÂMETROS!B21)*C176</f>
        <v/>
      </c>
      <c r="E177" s="43">
        <f>SQRT(D177)</f>
        <v/>
      </c>
      <c r="F177" s="44">
        <f>E177*SQRT(PARÂMETROS!B10)</f>
        <v/>
      </c>
      <c r="G177" s="44">
        <f>VaR_PARAMÉTRICO!B12*E177</f>
        <v/>
      </c>
      <c r="H177" s="57">
        <f>G177*PARÂMETROS!B24</f>
        <v/>
      </c>
    </row>
    <row r="178" ht="16" customHeight="1">
      <c r="A178" s="38" t="n">
        <v>44809</v>
      </c>
      <c r="B178" s="69">
        <f>RETORNOS_HIST!C178</f>
        <v/>
      </c>
      <c r="C178" s="42">
        <f>B178^2</f>
        <v/>
      </c>
      <c r="D178" s="42">
        <f>PARÂMETROS!B21*D177+(1-PARÂMETROS!B21)*C177</f>
        <v/>
      </c>
      <c r="E178" s="40">
        <f>SQRT(D178)</f>
        <v/>
      </c>
      <c r="F178" s="41">
        <f>E178*SQRT(PARÂMETROS!B10)</f>
        <v/>
      </c>
      <c r="G178" s="41">
        <f>VaR_PARAMÉTRICO!B12*E178</f>
        <v/>
      </c>
      <c r="H178" s="59">
        <f>G178*PARÂMETROS!B24</f>
        <v/>
      </c>
    </row>
    <row r="179" ht="16" customHeight="1">
      <c r="A179" s="35" t="n">
        <v>44810</v>
      </c>
      <c r="B179" s="68">
        <f>RETORNOS_HIST!C179</f>
        <v/>
      </c>
      <c r="C179" s="45">
        <f>B179^2</f>
        <v/>
      </c>
      <c r="D179" s="45">
        <f>PARÂMETROS!B21*D178+(1-PARÂMETROS!B21)*C178</f>
        <v/>
      </c>
      <c r="E179" s="43">
        <f>SQRT(D179)</f>
        <v/>
      </c>
      <c r="F179" s="44">
        <f>E179*SQRT(PARÂMETROS!B10)</f>
        <v/>
      </c>
      <c r="G179" s="44">
        <f>VaR_PARAMÉTRICO!B12*E179</f>
        <v/>
      </c>
      <c r="H179" s="57">
        <f>G179*PARÂMETROS!B24</f>
        <v/>
      </c>
    </row>
    <row r="180" ht="16" customHeight="1">
      <c r="A180" s="38" t="n">
        <v>44811</v>
      </c>
      <c r="B180" s="69">
        <f>RETORNOS_HIST!C180</f>
        <v/>
      </c>
      <c r="C180" s="42">
        <f>B180^2</f>
        <v/>
      </c>
      <c r="D180" s="42">
        <f>PARÂMETROS!B21*D179+(1-PARÂMETROS!B21)*C179</f>
        <v/>
      </c>
      <c r="E180" s="40">
        <f>SQRT(D180)</f>
        <v/>
      </c>
      <c r="F180" s="41">
        <f>E180*SQRT(PARÂMETROS!B10)</f>
        <v/>
      </c>
      <c r="G180" s="41">
        <f>VaR_PARAMÉTRICO!B12*E180</f>
        <v/>
      </c>
      <c r="H180" s="59">
        <f>G180*PARÂMETROS!B24</f>
        <v/>
      </c>
    </row>
    <row r="181" ht="16" customHeight="1">
      <c r="A181" s="35" t="n">
        <v>44812</v>
      </c>
      <c r="B181" s="68">
        <f>RETORNOS_HIST!C181</f>
        <v/>
      </c>
      <c r="C181" s="45">
        <f>B181^2</f>
        <v/>
      </c>
      <c r="D181" s="45">
        <f>PARÂMETROS!B21*D180+(1-PARÂMETROS!B21)*C180</f>
        <v/>
      </c>
      <c r="E181" s="43">
        <f>SQRT(D181)</f>
        <v/>
      </c>
      <c r="F181" s="44">
        <f>E181*SQRT(PARÂMETROS!B10)</f>
        <v/>
      </c>
      <c r="G181" s="44">
        <f>VaR_PARAMÉTRICO!B12*E181</f>
        <v/>
      </c>
      <c r="H181" s="57">
        <f>G181*PARÂMETROS!B24</f>
        <v/>
      </c>
    </row>
    <row r="182" ht="16" customHeight="1">
      <c r="A182" s="38" t="n">
        <v>44813</v>
      </c>
      <c r="B182" s="69">
        <f>RETORNOS_HIST!C182</f>
        <v/>
      </c>
      <c r="C182" s="42">
        <f>B182^2</f>
        <v/>
      </c>
      <c r="D182" s="42">
        <f>PARÂMETROS!B21*D181+(1-PARÂMETROS!B21)*C181</f>
        <v/>
      </c>
      <c r="E182" s="40">
        <f>SQRT(D182)</f>
        <v/>
      </c>
      <c r="F182" s="41">
        <f>E182*SQRT(PARÂMETROS!B10)</f>
        <v/>
      </c>
      <c r="G182" s="41">
        <f>VaR_PARAMÉTRICO!B12*E182</f>
        <v/>
      </c>
      <c r="H182" s="59">
        <f>G182*PARÂMETROS!B24</f>
        <v/>
      </c>
    </row>
    <row r="183" ht="16" customHeight="1">
      <c r="A183" s="35" t="n">
        <v>44816</v>
      </c>
      <c r="B183" s="68">
        <f>RETORNOS_HIST!C183</f>
        <v/>
      </c>
      <c r="C183" s="45">
        <f>B183^2</f>
        <v/>
      </c>
      <c r="D183" s="45">
        <f>PARÂMETROS!B21*D182+(1-PARÂMETROS!B21)*C182</f>
        <v/>
      </c>
      <c r="E183" s="43">
        <f>SQRT(D183)</f>
        <v/>
      </c>
      <c r="F183" s="44">
        <f>E183*SQRT(PARÂMETROS!B10)</f>
        <v/>
      </c>
      <c r="G183" s="44">
        <f>VaR_PARAMÉTRICO!B12*E183</f>
        <v/>
      </c>
      <c r="H183" s="57">
        <f>G183*PARÂMETROS!B24</f>
        <v/>
      </c>
    </row>
    <row r="184" ht="16" customHeight="1">
      <c r="A184" s="38" t="n">
        <v>44817</v>
      </c>
      <c r="B184" s="69">
        <f>RETORNOS_HIST!C184</f>
        <v/>
      </c>
      <c r="C184" s="42">
        <f>B184^2</f>
        <v/>
      </c>
      <c r="D184" s="42">
        <f>PARÂMETROS!B21*D183+(1-PARÂMETROS!B21)*C183</f>
        <v/>
      </c>
      <c r="E184" s="40">
        <f>SQRT(D184)</f>
        <v/>
      </c>
      <c r="F184" s="41">
        <f>E184*SQRT(PARÂMETROS!B10)</f>
        <v/>
      </c>
      <c r="G184" s="41">
        <f>VaR_PARAMÉTRICO!B12*E184</f>
        <v/>
      </c>
      <c r="H184" s="59">
        <f>G184*PARÂMETROS!B24</f>
        <v/>
      </c>
    </row>
    <row r="185" ht="16" customHeight="1">
      <c r="A185" s="35" t="n">
        <v>44818</v>
      </c>
      <c r="B185" s="68">
        <f>RETORNOS_HIST!C185</f>
        <v/>
      </c>
      <c r="C185" s="45">
        <f>B185^2</f>
        <v/>
      </c>
      <c r="D185" s="45">
        <f>PARÂMETROS!B21*D184+(1-PARÂMETROS!B21)*C184</f>
        <v/>
      </c>
      <c r="E185" s="43">
        <f>SQRT(D185)</f>
        <v/>
      </c>
      <c r="F185" s="44">
        <f>E185*SQRT(PARÂMETROS!B10)</f>
        <v/>
      </c>
      <c r="G185" s="44">
        <f>VaR_PARAMÉTRICO!B12*E185</f>
        <v/>
      </c>
      <c r="H185" s="57">
        <f>G185*PARÂMETROS!B24</f>
        <v/>
      </c>
    </row>
    <row r="186" ht="16" customHeight="1">
      <c r="A186" s="38" t="n">
        <v>44819</v>
      </c>
      <c r="B186" s="69">
        <f>RETORNOS_HIST!C186</f>
        <v/>
      </c>
      <c r="C186" s="42">
        <f>B186^2</f>
        <v/>
      </c>
      <c r="D186" s="42">
        <f>PARÂMETROS!B21*D185+(1-PARÂMETROS!B21)*C185</f>
        <v/>
      </c>
      <c r="E186" s="40">
        <f>SQRT(D186)</f>
        <v/>
      </c>
      <c r="F186" s="41">
        <f>E186*SQRT(PARÂMETROS!B10)</f>
        <v/>
      </c>
      <c r="G186" s="41">
        <f>VaR_PARAMÉTRICO!B12*E186</f>
        <v/>
      </c>
      <c r="H186" s="59">
        <f>G186*PARÂMETROS!B24</f>
        <v/>
      </c>
    </row>
    <row r="187" ht="16" customHeight="1">
      <c r="A187" s="35" t="n">
        <v>44820</v>
      </c>
      <c r="B187" s="68">
        <f>RETORNOS_HIST!C187</f>
        <v/>
      </c>
      <c r="C187" s="45">
        <f>B187^2</f>
        <v/>
      </c>
      <c r="D187" s="45">
        <f>PARÂMETROS!B21*D186+(1-PARÂMETROS!B21)*C186</f>
        <v/>
      </c>
      <c r="E187" s="43">
        <f>SQRT(D187)</f>
        <v/>
      </c>
      <c r="F187" s="44">
        <f>E187*SQRT(PARÂMETROS!B10)</f>
        <v/>
      </c>
      <c r="G187" s="44">
        <f>VaR_PARAMÉTRICO!B12*E187</f>
        <v/>
      </c>
      <c r="H187" s="57">
        <f>G187*PARÂMETROS!B24</f>
        <v/>
      </c>
    </row>
    <row r="188" ht="16" customHeight="1">
      <c r="A188" s="38" t="n">
        <v>44823</v>
      </c>
      <c r="B188" s="69">
        <f>RETORNOS_HIST!C188</f>
        <v/>
      </c>
      <c r="C188" s="42">
        <f>B188^2</f>
        <v/>
      </c>
      <c r="D188" s="42">
        <f>PARÂMETROS!B21*D187+(1-PARÂMETROS!B21)*C187</f>
        <v/>
      </c>
      <c r="E188" s="40">
        <f>SQRT(D188)</f>
        <v/>
      </c>
      <c r="F188" s="41">
        <f>E188*SQRT(PARÂMETROS!B10)</f>
        <v/>
      </c>
      <c r="G188" s="41">
        <f>VaR_PARAMÉTRICO!B12*E188</f>
        <v/>
      </c>
      <c r="H188" s="59">
        <f>G188*PARÂMETROS!B24</f>
        <v/>
      </c>
    </row>
    <row r="189" ht="16" customHeight="1">
      <c r="A189" s="35" t="n">
        <v>44824</v>
      </c>
      <c r="B189" s="68">
        <f>RETORNOS_HIST!C189</f>
        <v/>
      </c>
      <c r="C189" s="45">
        <f>B189^2</f>
        <v/>
      </c>
      <c r="D189" s="45">
        <f>PARÂMETROS!B21*D188+(1-PARÂMETROS!B21)*C188</f>
        <v/>
      </c>
      <c r="E189" s="43">
        <f>SQRT(D189)</f>
        <v/>
      </c>
      <c r="F189" s="44">
        <f>E189*SQRT(PARÂMETROS!B10)</f>
        <v/>
      </c>
      <c r="G189" s="44">
        <f>VaR_PARAMÉTRICO!B12*E189</f>
        <v/>
      </c>
      <c r="H189" s="57">
        <f>G189*PARÂMETROS!B24</f>
        <v/>
      </c>
    </row>
    <row r="190" ht="16" customHeight="1">
      <c r="A190" s="38" t="n">
        <v>44825</v>
      </c>
      <c r="B190" s="69">
        <f>RETORNOS_HIST!C190</f>
        <v/>
      </c>
      <c r="C190" s="42">
        <f>B190^2</f>
        <v/>
      </c>
      <c r="D190" s="42">
        <f>PARÂMETROS!B21*D189+(1-PARÂMETROS!B21)*C189</f>
        <v/>
      </c>
      <c r="E190" s="40">
        <f>SQRT(D190)</f>
        <v/>
      </c>
      <c r="F190" s="41">
        <f>E190*SQRT(PARÂMETROS!B10)</f>
        <v/>
      </c>
      <c r="G190" s="41">
        <f>VaR_PARAMÉTRICO!B12*E190</f>
        <v/>
      </c>
      <c r="H190" s="59">
        <f>G190*PARÂMETROS!B24</f>
        <v/>
      </c>
    </row>
    <row r="191" ht="16" customHeight="1">
      <c r="A191" s="35" t="n">
        <v>44826</v>
      </c>
      <c r="B191" s="68">
        <f>RETORNOS_HIST!C191</f>
        <v/>
      </c>
      <c r="C191" s="45">
        <f>B191^2</f>
        <v/>
      </c>
      <c r="D191" s="45">
        <f>PARÂMETROS!B21*D190+(1-PARÂMETROS!B21)*C190</f>
        <v/>
      </c>
      <c r="E191" s="43">
        <f>SQRT(D191)</f>
        <v/>
      </c>
      <c r="F191" s="44">
        <f>E191*SQRT(PARÂMETROS!B10)</f>
        <v/>
      </c>
      <c r="G191" s="44">
        <f>VaR_PARAMÉTRICO!B12*E191</f>
        <v/>
      </c>
      <c r="H191" s="57">
        <f>G191*PARÂMETROS!B24</f>
        <v/>
      </c>
    </row>
    <row r="192" ht="16" customHeight="1">
      <c r="A192" s="38" t="n">
        <v>44827</v>
      </c>
      <c r="B192" s="69">
        <f>RETORNOS_HIST!C192</f>
        <v/>
      </c>
      <c r="C192" s="42">
        <f>B192^2</f>
        <v/>
      </c>
      <c r="D192" s="42">
        <f>PARÂMETROS!B21*D191+(1-PARÂMETROS!B21)*C191</f>
        <v/>
      </c>
      <c r="E192" s="40">
        <f>SQRT(D192)</f>
        <v/>
      </c>
      <c r="F192" s="41">
        <f>E192*SQRT(PARÂMETROS!B10)</f>
        <v/>
      </c>
      <c r="G192" s="41">
        <f>VaR_PARAMÉTRICO!B12*E192</f>
        <v/>
      </c>
      <c r="H192" s="59">
        <f>G192*PARÂMETROS!B24</f>
        <v/>
      </c>
    </row>
    <row r="193" ht="16" customHeight="1">
      <c r="A193" s="35" t="n">
        <v>44830</v>
      </c>
      <c r="B193" s="68">
        <f>RETORNOS_HIST!C193</f>
        <v/>
      </c>
      <c r="C193" s="45">
        <f>B193^2</f>
        <v/>
      </c>
      <c r="D193" s="45">
        <f>PARÂMETROS!B21*D192+(1-PARÂMETROS!B21)*C192</f>
        <v/>
      </c>
      <c r="E193" s="43">
        <f>SQRT(D193)</f>
        <v/>
      </c>
      <c r="F193" s="44">
        <f>E193*SQRT(PARÂMETROS!B10)</f>
        <v/>
      </c>
      <c r="G193" s="44">
        <f>VaR_PARAMÉTRICO!B12*E193</f>
        <v/>
      </c>
      <c r="H193" s="57">
        <f>G193*PARÂMETROS!B24</f>
        <v/>
      </c>
    </row>
    <row r="194" ht="16" customHeight="1">
      <c r="A194" s="38" t="n">
        <v>44831</v>
      </c>
      <c r="B194" s="69">
        <f>RETORNOS_HIST!C194</f>
        <v/>
      </c>
      <c r="C194" s="42">
        <f>B194^2</f>
        <v/>
      </c>
      <c r="D194" s="42">
        <f>PARÂMETROS!B21*D193+(1-PARÂMETROS!B21)*C193</f>
        <v/>
      </c>
      <c r="E194" s="40">
        <f>SQRT(D194)</f>
        <v/>
      </c>
      <c r="F194" s="41">
        <f>E194*SQRT(PARÂMETROS!B10)</f>
        <v/>
      </c>
      <c r="G194" s="41">
        <f>VaR_PARAMÉTRICO!B12*E194</f>
        <v/>
      </c>
      <c r="H194" s="59">
        <f>G194*PARÂMETROS!B24</f>
        <v/>
      </c>
    </row>
    <row r="195" ht="16" customHeight="1">
      <c r="A195" s="35" t="n">
        <v>44832</v>
      </c>
      <c r="B195" s="68">
        <f>RETORNOS_HIST!C195</f>
        <v/>
      </c>
      <c r="C195" s="45">
        <f>B195^2</f>
        <v/>
      </c>
      <c r="D195" s="45">
        <f>PARÂMETROS!B21*D194+(1-PARÂMETROS!B21)*C194</f>
        <v/>
      </c>
      <c r="E195" s="43">
        <f>SQRT(D195)</f>
        <v/>
      </c>
      <c r="F195" s="44">
        <f>E195*SQRT(PARÂMETROS!B10)</f>
        <v/>
      </c>
      <c r="G195" s="44">
        <f>VaR_PARAMÉTRICO!B12*E195</f>
        <v/>
      </c>
      <c r="H195" s="57">
        <f>G195*PARÂMETROS!B24</f>
        <v/>
      </c>
    </row>
    <row r="196" ht="16" customHeight="1">
      <c r="A196" s="38" t="n">
        <v>44833</v>
      </c>
      <c r="B196" s="69">
        <f>RETORNOS_HIST!C196</f>
        <v/>
      </c>
      <c r="C196" s="42">
        <f>B196^2</f>
        <v/>
      </c>
      <c r="D196" s="42">
        <f>PARÂMETROS!B21*D195+(1-PARÂMETROS!B21)*C195</f>
        <v/>
      </c>
      <c r="E196" s="40">
        <f>SQRT(D196)</f>
        <v/>
      </c>
      <c r="F196" s="41">
        <f>E196*SQRT(PARÂMETROS!B10)</f>
        <v/>
      </c>
      <c r="G196" s="41">
        <f>VaR_PARAMÉTRICO!B12*E196</f>
        <v/>
      </c>
      <c r="H196" s="59">
        <f>G196*PARÂMETROS!B24</f>
        <v/>
      </c>
    </row>
    <row r="197" ht="16" customHeight="1">
      <c r="A197" s="35" t="n">
        <v>44834</v>
      </c>
      <c r="B197" s="68">
        <f>RETORNOS_HIST!C197</f>
        <v/>
      </c>
      <c r="C197" s="45">
        <f>B197^2</f>
        <v/>
      </c>
      <c r="D197" s="45">
        <f>PARÂMETROS!B21*D196+(1-PARÂMETROS!B21)*C196</f>
        <v/>
      </c>
      <c r="E197" s="43">
        <f>SQRT(D197)</f>
        <v/>
      </c>
      <c r="F197" s="44">
        <f>E197*SQRT(PARÂMETROS!B10)</f>
        <v/>
      </c>
      <c r="G197" s="44">
        <f>VaR_PARAMÉTRICO!B12*E197</f>
        <v/>
      </c>
      <c r="H197" s="57">
        <f>G197*PARÂMETROS!B24</f>
        <v/>
      </c>
    </row>
    <row r="198" ht="16" customHeight="1">
      <c r="A198" s="38" t="n">
        <v>44837</v>
      </c>
      <c r="B198" s="69">
        <f>RETORNOS_HIST!C198</f>
        <v/>
      </c>
      <c r="C198" s="42">
        <f>B198^2</f>
        <v/>
      </c>
      <c r="D198" s="42">
        <f>PARÂMETROS!B21*D197+(1-PARÂMETROS!B21)*C197</f>
        <v/>
      </c>
      <c r="E198" s="40">
        <f>SQRT(D198)</f>
        <v/>
      </c>
      <c r="F198" s="41">
        <f>E198*SQRT(PARÂMETROS!B10)</f>
        <v/>
      </c>
      <c r="G198" s="41">
        <f>VaR_PARAMÉTRICO!B12*E198</f>
        <v/>
      </c>
      <c r="H198" s="59">
        <f>G198*PARÂMETROS!B24</f>
        <v/>
      </c>
    </row>
    <row r="199" ht="16" customHeight="1">
      <c r="A199" s="35" t="n">
        <v>44838</v>
      </c>
      <c r="B199" s="68">
        <f>RETORNOS_HIST!C199</f>
        <v/>
      </c>
      <c r="C199" s="45">
        <f>B199^2</f>
        <v/>
      </c>
      <c r="D199" s="45">
        <f>PARÂMETROS!B21*D198+(1-PARÂMETROS!B21)*C198</f>
        <v/>
      </c>
      <c r="E199" s="43">
        <f>SQRT(D199)</f>
        <v/>
      </c>
      <c r="F199" s="44">
        <f>E199*SQRT(PARÂMETROS!B10)</f>
        <v/>
      </c>
      <c r="G199" s="44">
        <f>VaR_PARAMÉTRICO!B12*E199</f>
        <v/>
      </c>
      <c r="H199" s="57">
        <f>G199*PARÂMETROS!B24</f>
        <v/>
      </c>
    </row>
    <row r="200" ht="16" customHeight="1">
      <c r="A200" s="38" t="n">
        <v>44839</v>
      </c>
      <c r="B200" s="69">
        <f>RETORNOS_HIST!C200</f>
        <v/>
      </c>
      <c r="C200" s="42">
        <f>B200^2</f>
        <v/>
      </c>
      <c r="D200" s="42">
        <f>PARÂMETROS!B21*D199+(1-PARÂMETROS!B21)*C199</f>
        <v/>
      </c>
      <c r="E200" s="40">
        <f>SQRT(D200)</f>
        <v/>
      </c>
      <c r="F200" s="41">
        <f>E200*SQRT(PARÂMETROS!B10)</f>
        <v/>
      </c>
      <c r="G200" s="41">
        <f>VaR_PARAMÉTRICO!B12*E200</f>
        <v/>
      </c>
      <c r="H200" s="59">
        <f>G200*PARÂMETROS!B24</f>
        <v/>
      </c>
    </row>
    <row r="201" ht="16" customHeight="1">
      <c r="A201" s="35" t="n">
        <v>44840</v>
      </c>
      <c r="B201" s="68">
        <f>RETORNOS_HIST!C201</f>
        <v/>
      </c>
      <c r="C201" s="45">
        <f>B201^2</f>
        <v/>
      </c>
      <c r="D201" s="45">
        <f>PARÂMETROS!B21*D200+(1-PARÂMETROS!B21)*C200</f>
        <v/>
      </c>
      <c r="E201" s="43">
        <f>SQRT(D201)</f>
        <v/>
      </c>
      <c r="F201" s="44">
        <f>E201*SQRT(PARÂMETROS!B10)</f>
        <v/>
      </c>
      <c r="G201" s="44">
        <f>VaR_PARAMÉTRICO!B12*E201</f>
        <v/>
      </c>
      <c r="H201" s="57">
        <f>G201*PARÂMETROS!B24</f>
        <v/>
      </c>
    </row>
    <row r="202" ht="16" customHeight="1">
      <c r="A202" s="38" t="n">
        <v>44841</v>
      </c>
      <c r="B202" s="69">
        <f>RETORNOS_HIST!C202</f>
        <v/>
      </c>
      <c r="C202" s="42">
        <f>B202^2</f>
        <v/>
      </c>
      <c r="D202" s="42">
        <f>PARÂMETROS!B21*D201+(1-PARÂMETROS!B21)*C201</f>
        <v/>
      </c>
      <c r="E202" s="40">
        <f>SQRT(D202)</f>
        <v/>
      </c>
      <c r="F202" s="41">
        <f>E202*SQRT(PARÂMETROS!B10)</f>
        <v/>
      </c>
      <c r="G202" s="41">
        <f>VaR_PARAMÉTRICO!B12*E202</f>
        <v/>
      </c>
      <c r="H202" s="59">
        <f>G202*PARÂMETROS!B24</f>
        <v/>
      </c>
    </row>
    <row r="203" ht="16" customHeight="1">
      <c r="A203" s="35" t="n">
        <v>44844</v>
      </c>
      <c r="B203" s="68">
        <f>RETORNOS_HIST!C203</f>
        <v/>
      </c>
      <c r="C203" s="45">
        <f>B203^2</f>
        <v/>
      </c>
      <c r="D203" s="45">
        <f>PARÂMETROS!B21*D202+(1-PARÂMETROS!B21)*C202</f>
        <v/>
      </c>
      <c r="E203" s="43">
        <f>SQRT(D203)</f>
        <v/>
      </c>
      <c r="F203" s="44">
        <f>E203*SQRT(PARÂMETROS!B10)</f>
        <v/>
      </c>
      <c r="G203" s="44">
        <f>VaR_PARAMÉTRICO!B12*E203</f>
        <v/>
      </c>
      <c r="H203" s="57">
        <f>G203*PARÂMETROS!B24</f>
        <v/>
      </c>
    </row>
    <row r="204" ht="16" customHeight="1">
      <c r="A204" s="38" t="n">
        <v>44845</v>
      </c>
      <c r="B204" s="69">
        <f>RETORNOS_HIST!C204</f>
        <v/>
      </c>
      <c r="C204" s="42">
        <f>B204^2</f>
        <v/>
      </c>
      <c r="D204" s="42">
        <f>PARÂMETROS!B21*D203+(1-PARÂMETROS!B21)*C203</f>
        <v/>
      </c>
      <c r="E204" s="40">
        <f>SQRT(D204)</f>
        <v/>
      </c>
      <c r="F204" s="41">
        <f>E204*SQRT(PARÂMETROS!B10)</f>
        <v/>
      </c>
      <c r="G204" s="41">
        <f>VaR_PARAMÉTRICO!B12*E204</f>
        <v/>
      </c>
      <c r="H204" s="59">
        <f>G204*PARÂMETROS!B24</f>
        <v/>
      </c>
    </row>
    <row r="205" ht="16" customHeight="1">
      <c r="A205" s="35" t="n">
        <v>44846</v>
      </c>
      <c r="B205" s="68">
        <f>RETORNOS_HIST!C205</f>
        <v/>
      </c>
      <c r="C205" s="45">
        <f>B205^2</f>
        <v/>
      </c>
      <c r="D205" s="45">
        <f>PARÂMETROS!B21*D204+(1-PARÂMETROS!B21)*C204</f>
        <v/>
      </c>
      <c r="E205" s="43">
        <f>SQRT(D205)</f>
        <v/>
      </c>
      <c r="F205" s="44">
        <f>E205*SQRT(PARÂMETROS!B10)</f>
        <v/>
      </c>
      <c r="G205" s="44">
        <f>VaR_PARAMÉTRICO!B12*E205</f>
        <v/>
      </c>
      <c r="H205" s="57">
        <f>G205*PARÂMETROS!B24</f>
        <v/>
      </c>
    </row>
    <row r="206" ht="16" customHeight="1">
      <c r="A206" s="38" t="n">
        <v>44847</v>
      </c>
      <c r="B206" s="69">
        <f>RETORNOS_HIST!C206</f>
        <v/>
      </c>
      <c r="C206" s="42">
        <f>B206^2</f>
        <v/>
      </c>
      <c r="D206" s="42">
        <f>PARÂMETROS!B21*D205+(1-PARÂMETROS!B21)*C205</f>
        <v/>
      </c>
      <c r="E206" s="40">
        <f>SQRT(D206)</f>
        <v/>
      </c>
      <c r="F206" s="41">
        <f>E206*SQRT(PARÂMETROS!B10)</f>
        <v/>
      </c>
      <c r="G206" s="41">
        <f>VaR_PARAMÉTRICO!B12*E206</f>
        <v/>
      </c>
      <c r="H206" s="59">
        <f>G206*PARÂMETROS!B24</f>
        <v/>
      </c>
    </row>
    <row r="207" ht="16" customHeight="1">
      <c r="A207" s="35" t="n">
        <v>44848</v>
      </c>
      <c r="B207" s="68">
        <f>RETORNOS_HIST!C207</f>
        <v/>
      </c>
      <c r="C207" s="45">
        <f>B207^2</f>
        <v/>
      </c>
      <c r="D207" s="45">
        <f>PARÂMETROS!B21*D206+(1-PARÂMETROS!B21)*C206</f>
        <v/>
      </c>
      <c r="E207" s="43">
        <f>SQRT(D207)</f>
        <v/>
      </c>
      <c r="F207" s="44">
        <f>E207*SQRT(PARÂMETROS!B10)</f>
        <v/>
      </c>
      <c r="G207" s="44">
        <f>VaR_PARAMÉTRICO!B12*E207</f>
        <v/>
      </c>
      <c r="H207" s="57">
        <f>G207*PARÂMETROS!B24</f>
        <v/>
      </c>
    </row>
    <row r="208" ht="16" customHeight="1">
      <c r="A208" s="38" t="n">
        <v>44851</v>
      </c>
      <c r="B208" s="69">
        <f>RETORNOS_HIST!C208</f>
        <v/>
      </c>
      <c r="C208" s="42">
        <f>B208^2</f>
        <v/>
      </c>
      <c r="D208" s="42">
        <f>PARÂMETROS!B21*D207+(1-PARÂMETROS!B21)*C207</f>
        <v/>
      </c>
      <c r="E208" s="40">
        <f>SQRT(D208)</f>
        <v/>
      </c>
      <c r="F208" s="41">
        <f>E208*SQRT(PARÂMETROS!B10)</f>
        <v/>
      </c>
      <c r="G208" s="41">
        <f>VaR_PARAMÉTRICO!B12*E208</f>
        <v/>
      </c>
      <c r="H208" s="59">
        <f>G208*PARÂMETROS!B24</f>
        <v/>
      </c>
    </row>
    <row r="209" ht="16" customHeight="1">
      <c r="A209" s="35" t="n">
        <v>44852</v>
      </c>
      <c r="B209" s="68">
        <f>RETORNOS_HIST!C209</f>
        <v/>
      </c>
      <c r="C209" s="45">
        <f>B209^2</f>
        <v/>
      </c>
      <c r="D209" s="45">
        <f>PARÂMETROS!B21*D208+(1-PARÂMETROS!B21)*C208</f>
        <v/>
      </c>
      <c r="E209" s="43">
        <f>SQRT(D209)</f>
        <v/>
      </c>
      <c r="F209" s="44">
        <f>E209*SQRT(PARÂMETROS!B10)</f>
        <v/>
      </c>
      <c r="G209" s="44">
        <f>VaR_PARAMÉTRICO!B12*E209</f>
        <v/>
      </c>
      <c r="H209" s="57">
        <f>G209*PARÂMETROS!B24</f>
        <v/>
      </c>
    </row>
    <row r="210" ht="16" customHeight="1">
      <c r="A210" s="38" t="n">
        <v>44853</v>
      </c>
      <c r="B210" s="69">
        <f>RETORNOS_HIST!C210</f>
        <v/>
      </c>
      <c r="C210" s="42">
        <f>B210^2</f>
        <v/>
      </c>
      <c r="D210" s="42">
        <f>PARÂMETROS!B21*D209+(1-PARÂMETROS!B21)*C209</f>
        <v/>
      </c>
      <c r="E210" s="40">
        <f>SQRT(D210)</f>
        <v/>
      </c>
      <c r="F210" s="41">
        <f>E210*SQRT(PARÂMETROS!B10)</f>
        <v/>
      </c>
      <c r="G210" s="41">
        <f>VaR_PARAMÉTRICO!B12*E210</f>
        <v/>
      </c>
      <c r="H210" s="59">
        <f>G210*PARÂMETROS!B24</f>
        <v/>
      </c>
    </row>
    <row r="211" ht="16" customHeight="1">
      <c r="A211" s="35" t="n">
        <v>44854</v>
      </c>
      <c r="B211" s="68">
        <f>RETORNOS_HIST!C211</f>
        <v/>
      </c>
      <c r="C211" s="45">
        <f>B211^2</f>
        <v/>
      </c>
      <c r="D211" s="45">
        <f>PARÂMETROS!B21*D210+(1-PARÂMETROS!B21)*C210</f>
        <v/>
      </c>
      <c r="E211" s="43">
        <f>SQRT(D211)</f>
        <v/>
      </c>
      <c r="F211" s="44">
        <f>E211*SQRT(PARÂMETROS!B10)</f>
        <v/>
      </c>
      <c r="G211" s="44">
        <f>VaR_PARAMÉTRICO!B12*E211</f>
        <v/>
      </c>
      <c r="H211" s="57">
        <f>G211*PARÂMETROS!B24</f>
        <v/>
      </c>
    </row>
    <row r="212" ht="16" customHeight="1">
      <c r="A212" s="38" t="n">
        <v>44855</v>
      </c>
      <c r="B212" s="69">
        <f>RETORNOS_HIST!C212</f>
        <v/>
      </c>
      <c r="C212" s="42">
        <f>B212^2</f>
        <v/>
      </c>
      <c r="D212" s="42">
        <f>PARÂMETROS!B21*D211+(1-PARÂMETROS!B21)*C211</f>
        <v/>
      </c>
      <c r="E212" s="40">
        <f>SQRT(D212)</f>
        <v/>
      </c>
      <c r="F212" s="41">
        <f>E212*SQRT(PARÂMETROS!B10)</f>
        <v/>
      </c>
      <c r="G212" s="41">
        <f>VaR_PARAMÉTRICO!B12*E212</f>
        <v/>
      </c>
      <c r="H212" s="59">
        <f>G212*PARÂMETROS!B24</f>
        <v/>
      </c>
    </row>
    <row r="213" ht="16" customHeight="1">
      <c r="A213" s="35" t="n">
        <v>44858</v>
      </c>
      <c r="B213" s="68">
        <f>RETORNOS_HIST!C213</f>
        <v/>
      </c>
      <c r="C213" s="45">
        <f>B213^2</f>
        <v/>
      </c>
      <c r="D213" s="45">
        <f>PARÂMETROS!B21*D212+(1-PARÂMETROS!B21)*C212</f>
        <v/>
      </c>
      <c r="E213" s="43">
        <f>SQRT(D213)</f>
        <v/>
      </c>
      <c r="F213" s="44">
        <f>E213*SQRT(PARÂMETROS!B10)</f>
        <v/>
      </c>
      <c r="G213" s="44">
        <f>VaR_PARAMÉTRICO!B12*E213</f>
        <v/>
      </c>
      <c r="H213" s="57">
        <f>G213*PARÂMETROS!B24</f>
        <v/>
      </c>
    </row>
    <row r="214" ht="16" customHeight="1">
      <c r="A214" s="38" t="n">
        <v>44859</v>
      </c>
      <c r="B214" s="69">
        <f>RETORNOS_HIST!C214</f>
        <v/>
      </c>
      <c r="C214" s="42">
        <f>B214^2</f>
        <v/>
      </c>
      <c r="D214" s="42">
        <f>PARÂMETROS!B21*D213+(1-PARÂMETROS!B21)*C213</f>
        <v/>
      </c>
      <c r="E214" s="40">
        <f>SQRT(D214)</f>
        <v/>
      </c>
      <c r="F214" s="41">
        <f>E214*SQRT(PARÂMETROS!B10)</f>
        <v/>
      </c>
      <c r="G214" s="41">
        <f>VaR_PARAMÉTRICO!B12*E214</f>
        <v/>
      </c>
      <c r="H214" s="59">
        <f>G214*PARÂMETROS!B24</f>
        <v/>
      </c>
    </row>
    <row r="215" ht="16" customHeight="1">
      <c r="A215" s="35" t="n">
        <v>44860</v>
      </c>
      <c r="B215" s="68">
        <f>RETORNOS_HIST!C215</f>
        <v/>
      </c>
      <c r="C215" s="45">
        <f>B215^2</f>
        <v/>
      </c>
      <c r="D215" s="45">
        <f>PARÂMETROS!B21*D214+(1-PARÂMETROS!B21)*C214</f>
        <v/>
      </c>
      <c r="E215" s="43">
        <f>SQRT(D215)</f>
        <v/>
      </c>
      <c r="F215" s="44">
        <f>E215*SQRT(PARÂMETROS!B10)</f>
        <v/>
      </c>
      <c r="G215" s="44">
        <f>VaR_PARAMÉTRICO!B12*E215</f>
        <v/>
      </c>
      <c r="H215" s="57">
        <f>G215*PARÂMETROS!B24</f>
        <v/>
      </c>
    </row>
    <row r="216" ht="16" customHeight="1">
      <c r="A216" s="38" t="n">
        <v>44861</v>
      </c>
      <c r="B216" s="69">
        <f>RETORNOS_HIST!C216</f>
        <v/>
      </c>
      <c r="C216" s="42">
        <f>B216^2</f>
        <v/>
      </c>
      <c r="D216" s="42">
        <f>PARÂMETROS!B21*D215+(1-PARÂMETROS!B21)*C215</f>
        <v/>
      </c>
      <c r="E216" s="40">
        <f>SQRT(D216)</f>
        <v/>
      </c>
      <c r="F216" s="41">
        <f>E216*SQRT(PARÂMETROS!B10)</f>
        <v/>
      </c>
      <c r="G216" s="41">
        <f>VaR_PARAMÉTRICO!B12*E216</f>
        <v/>
      </c>
      <c r="H216" s="59">
        <f>G216*PARÂMETROS!B24</f>
        <v/>
      </c>
    </row>
    <row r="217" ht="16" customHeight="1">
      <c r="A217" s="35" t="n">
        <v>44862</v>
      </c>
      <c r="B217" s="68">
        <f>RETORNOS_HIST!C217</f>
        <v/>
      </c>
      <c r="C217" s="45">
        <f>B217^2</f>
        <v/>
      </c>
      <c r="D217" s="45">
        <f>PARÂMETROS!B21*D216+(1-PARÂMETROS!B21)*C216</f>
        <v/>
      </c>
      <c r="E217" s="43">
        <f>SQRT(D217)</f>
        <v/>
      </c>
      <c r="F217" s="44">
        <f>E217*SQRT(PARÂMETROS!B10)</f>
        <v/>
      </c>
      <c r="G217" s="44">
        <f>VaR_PARAMÉTRICO!B12*E217</f>
        <v/>
      </c>
      <c r="H217" s="57">
        <f>G217*PARÂMETROS!B24</f>
        <v/>
      </c>
    </row>
    <row r="218" ht="16" customHeight="1">
      <c r="A218" s="38" t="n">
        <v>44865</v>
      </c>
      <c r="B218" s="69">
        <f>RETORNOS_HIST!C218</f>
        <v/>
      </c>
      <c r="C218" s="42">
        <f>B218^2</f>
        <v/>
      </c>
      <c r="D218" s="42">
        <f>PARÂMETROS!B21*D217+(1-PARÂMETROS!B21)*C217</f>
        <v/>
      </c>
      <c r="E218" s="40">
        <f>SQRT(D218)</f>
        <v/>
      </c>
      <c r="F218" s="41">
        <f>E218*SQRT(PARÂMETROS!B10)</f>
        <v/>
      </c>
      <c r="G218" s="41">
        <f>VaR_PARAMÉTRICO!B12*E218</f>
        <v/>
      </c>
      <c r="H218" s="59">
        <f>G218*PARÂMETROS!B24</f>
        <v/>
      </c>
    </row>
    <row r="219" ht="16" customHeight="1">
      <c r="A219" s="35" t="n">
        <v>44866</v>
      </c>
      <c r="B219" s="68">
        <f>RETORNOS_HIST!C219</f>
        <v/>
      </c>
      <c r="C219" s="45">
        <f>B219^2</f>
        <v/>
      </c>
      <c r="D219" s="45">
        <f>PARÂMETROS!B21*D218+(1-PARÂMETROS!B21)*C218</f>
        <v/>
      </c>
      <c r="E219" s="43">
        <f>SQRT(D219)</f>
        <v/>
      </c>
      <c r="F219" s="44">
        <f>E219*SQRT(PARÂMETROS!B10)</f>
        <v/>
      </c>
      <c r="G219" s="44">
        <f>VaR_PARAMÉTRICO!B12*E219</f>
        <v/>
      </c>
      <c r="H219" s="57">
        <f>G219*PARÂMETROS!B24</f>
        <v/>
      </c>
    </row>
    <row r="220" ht="16" customHeight="1">
      <c r="A220" s="38" t="n">
        <v>44867</v>
      </c>
      <c r="B220" s="69">
        <f>RETORNOS_HIST!C220</f>
        <v/>
      </c>
      <c r="C220" s="42">
        <f>B220^2</f>
        <v/>
      </c>
      <c r="D220" s="42">
        <f>PARÂMETROS!B21*D219+(1-PARÂMETROS!B21)*C219</f>
        <v/>
      </c>
      <c r="E220" s="40">
        <f>SQRT(D220)</f>
        <v/>
      </c>
      <c r="F220" s="41">
        <f>E220*SQRT(PARÂMETROS!B10)</f>
        <v/>
      </c>
      <c r="G220" s="41">
        <f>VaR_PARAMÉTRICO!B12*E220</f>
        <v/>
      </c>
      <c r="H220" s="59">
        <f>G220*PARÂMETROS!B24</f>
        <v/>
      </c>
    </row>
    <row r="221" ht="16" customHeight="1">
      <c r="A221" s="35" t="n">
        <v>44868</v>
      </c>
      <c r="B221" s="68">
        <f>RETORNOS_HIST!C221</f>
        <v/>
      </c>
      <c r="C221" s="45">
        <f>B221^2</f>
        <v/>
      </c>
      <c r="D221" s="45">
        <f>PARÂMETROS!B21*D220+(1-PARÂMETROS!B21)*C220</f>
        <v/>
      </c>
      <c r="E221" s="43">
        <f>SQRT(D221)</f>
        <v/>
      </c>
      <c r="F221" s="44">
        <f>E221*SQRT(PARÂMETROS!B10)</f>
        <v/>
      </c>
      <c r="G221" s="44">
        <f>VaR_PARAMÉTRICO!B12*E221</f>
        <v/>
      </c>
      <c r="H221" s="57">
        <f>G221*PARÂMETROS!B24</f>
        <v/>
      </c>
    </row>
    <row r="222" ht="16" customHeight="1">
      <c r="A222" s="38" t="n">
        <v>44869</v>
      </c>
      <c r="B222" s="69">
        <f>RETORNOS_HIST!C222</f>
        <v/>
      </c>
      <c r="C222" s="42">
        <f>B222^2</f>
        <v/>
      </c>
      <c r="D222" s="42">
        <f>PARÂMETROS!B21*D221+(1-PARÂMETROS!B21)*C221</f>
        <v/>
      </c>
      <c r="E222" s="40">
        <f>SQRT(D222)</f>
        <v/>
      </c>
      <c r="F222" s="41">
        <f>E222*SQRT(PARÂMETROS!B10)</f>
        <v/>
      </c>
      <c r="G222" s="41">
        <f>VaR_PARAMÉTRICO!B12*E222</f>
        <v/>
      </c>
      <c r="H222" s="59">
        <f>G222*PARÂMETROS!B24</f>
        <v/>
      </c>
    </row>
    <row r="223" ht="16" customHeight="1">
      <c r="A223" s="35" t="n">
        <v>44872</v>
      </c>
      <c r="B223" s="68">
        <f>RETORNOS_HIST!C223</f>
        <v/>
      </c>
      <c r="C223" s="45">
        <f>B223^2</f>
        <v/>
      </c>
      <c r="D223" s="45">
        <f>PARÂMETROS!B21*D222+(1-PARÂMETROS!B21)*C222</f>
        <v/>
      </c>
      <c r="E223" s="43">
        <f>SQRT(D223)</f>
        <v/>
      </c>
      <c r="F223" s="44">
        <f>E223*SQRT(PARÂMETROS!B10)</f>
        <v/>
      </c>
      <c r="G223" s="44">
        <f>VaR_PARAMÉTRICO!B12*E223</f>
        <v/>
      </c>
      <c r="H223" s="57">
        <f>G223*PARÂMETROS!B24</f>
        <v/>
      </c>
    </row>
    <row r="224" ht="16" customHeight="1">
      <c r="A224" s="38" t="n">
        <v>44873</v>
      </c>
      <c r="B224" s="69">
        <f>RETORNOS_HIST!C224</f>
        <v/>
      </c>
      <c r="C224" s="42">
        <f>B224^2</f>
        <v/>
      </c>
      <c r="D224" s="42">
        <f>PARÂMETROS!B21*D223+(1-PARÂMETROS!B21)*C223</f>
        <v/>
      </c>
      <c r="E224" s="40">
        <f>SQRT(D224)</f>
        <v/>
      </c>
      <c r="F224" s="41">
        <f>E224*SQRT(PARÂMETROS!B10)</f>
        <v/>
      </c>
      <c r="G224" s="41">
        <f>VaR_PARAMÉTRICO!B12*E224</f>
        <v/>
      </c>
      <c r="H224" s="59">
        <f>G224*PARÂMETROS!B24</f>
        <v/>
      </c>
    </row>
    <row r="225" ht="16" customHeight="1">
      <c r="A225" s="35" t="n">
        <v>44874</v>
      </c>
      <c r="B225" s="68">
        <f>RETORNOS_HIST!C225</f>
        <v/>
      </c>
      <c r="C225" s="45">
        <f>B225^2</f>
        <v/>
      </c>
      <c r="D225" s="45">
        <f>PARÂMETROS!B21*D224+(1-PARÂMETROS!B21)*C224</f>
        <v/>
      </c>
      <c r="E225" s="43">
        <f>SQRT(D225)</f>
        <v/>
      </c>
      <c r="F225" s="44">
        <f>E225*SQRT(PARÂMETROS!B10)</f>
        <v/>
      </c>
      <c r="G225" s="44">
        <f>VaR_PARAMÉTRICO!B12*E225</f>
        <v/>
      </c>
      <c r="H225" s="57">
        <f>G225*PARÂMETROS!B24</f>
        <v/>
      </c>
    </row>
    <row r="226" ht="16" customHeight="1">
      <c r="A226" s="38" t="n">
        <v>44875</v>
      </c>
      <c r="B226" s="69">
        <f>RETORNOS_HIST!C226</f>
        <v/>
      </c>
      <c r="C226" s="42">
        <f>B226^2</f>
        <v/>
      </c>
      <c r="D226" s="42">
        <f>PARÂMETROS!B21*D225+(1-PARÂMETROS!B21)*C225</f>
        <v/>
      </c>
      <c r="E226" s="40">
        <f>SQRT(D226)</f>
        <v/>
      </c>
      <c r="F226" s="41">
        <f>E226*SQRT(PARÂMETROS!B10)</f>
        <v/>
      </c>
      <c r="G226" s="41">
        <f>VaR_PARAMÉTRICO!B12*E226</f>
        <v/>
      </c>
      <c r="H226" s="59">
        <f>G226*PARÂMETROS!B24</f>
        <v/>
      </c>
    </row>
    <row r="227" ht="16" customHeight="1">
      <c r="A227" s="35" t="n">
        <v>44876</v>
      </c>
      <c r="B227" s="68">
        <f>RETORNOS_HIST!C227</f>
        <v/>
      </c>
      <c r="C227" s="45">
        <f>B227^2</f>
        <v/>
      </c>
      <c r="D227" s="45">
        <f>PARÂMETROS!B21*D226+(1-PARÂMETROS!B21)*C226</f>
        <v/>
      </c>
      <c r="E227" s="43">
        <f>SQRT(D227)</f>
        <v/>
      </c>
      <c r="F227" s="44">
        <f>E227*SQRT(PARÂMETROS!B10)</f>
        <v/>
      </c>
      <c r="G227" s="44">
        <f>VaR_PARAMÉTRICO!B12*E227</f>
        <v/>
      </c>
      <c r="H227" s="57">
        <f>G227*PARÂMETROS!B24</f>
        <v/>
      </c>
    </row>
    <row r="228" ht="16" customHeight="1">
      <c r="A228" s="38" t="n">
        <v>44879</v>
      </c>
      <c r="B228" s="69">
        <f>RETORNOS_HIST!C228</f>
        <v/>
      </c>
      <c r="C228" s="42">
        <f>B228^2</f>
        <v/>
      </c>
      <c r="D228" s="42">
        <f>PARÂMETROS!B21*D227+(1-PARÂMETROS!B21)*C227</f>
        <v/>
      </c>
      <c r="E228" s="40">
        <f>SQRT(D228)</f>
        <v/>
      </c>
      <c r="F228" s="41">
        <f>E228*SQRT(PARÂMETROS!B10)</f>
        <v/>
      </c>
      <c r="G228" s="41">
        <f>VaR_PARAMÉTRICO!B12*E228</f>
        <v/>
      </c>
      <c r="H228" s="59">
        <f>G228*PARÂMETROS!B24</f>
        <v/>
      </c>
    </row>
    <row r="229" ht="16" customHeight="1">
      <c r="A229" s="35" t="n">
        <v>44880</v>
      </c>
      <c r="B229" s="68">
        <f>RETORNOS_HIST!C229</f>
        <v/>
      </c>
      <c r="C229" s="45">
        <f>B229^2</f>
        <v/>
      </c>
      <c r="D229" s="45">
        <f>PARÂMETROS!B21*D228+(1-PARÂMETROS!B21)*C228</f>
        <v/>
      </c>
      <c r="E229" s="43">
        <f>SQRT(D229)</f>
        <v/>
      </c>
      <c r="F229" s="44">
        <f>E229*SQRT(PARÂMETROS!B10)</f>
        <v/>
      </c>
      <c r="G229" s="44">
        <f>VaR_PARAMÉTRICO!B12*E229</f>
        <v/>
      </c>
      <c r="H229" s="57">
        <f>G229*PARÂMETROS!B24</f>
        <v/>
      </c>
    </row>
    <row r="230" ht="16" customHeight="1">
      <c r="A230" s="38" t="n">
        <v>44881</v>
      </c>
      <c r="B230" s="69">
        <f>RETORNOS_HIST!C230</f>
        <v/>
      </c>
      <c r="C230" s="42">
        <f>B230^2</f>
        <v/>
      </c>
      <c r="D230" s="42">
        <f>PARÂMETROS!B21*D229+(1-PARÂMETROS!B21)*C229</f>
        <v/>
      </c>
      <c r="E230" s="40">
        <f>SQRT(D230)</f>
        <v/>
      </c>
      <c r="F230" s="41">
        <f>E230*SQRT(PARÂMETROS!B10)</f>
        <v/>
      </c>
      <c r="G230" s="41">
        <f>VaR_PARAMÉTRICO!B12*E230</f>
        <v/>
      </c>
      <c r="H230" s="59">
        <f>G230*PARÂMETROS!B24</f>
        <v/>
      </c>
    </row>
    <row r="231" ht="16" customHeight="1">
      <c r="A231" s="35" t="n">
        <v>44882</v>
      </c>
      <c r="B231" s="68">
        <f>RETORNOS_HIST!C231</f>
        <v/>
      </c>
      <c r="C231" s="45">
        <f>B231^2</f>
        <v/>
      </c>
      <c r="D231" s="45">
        <f>PARÂMETROS!B21*D230+(1-PARÂMETROS!B21)*C230</f>
        <v/>
      </c>
      <c r="E231" s="43">
        <f>SQRT(D231)</f>
        <v/>
      </c>
      <c r="F231" s="44">
        <f>E231*SQRT(PARÂMETROS!B10)</f>
        <v/>
      </c>
      <c r="G231" s="44">
        <f>VaR_PARAMÉTRICO!B12*E231</f>
        <v/>
      </c>
      <c r="H231" s="57">
        <f>G231*PARÂMETROS!B24</f>
        <v/>
      </c>
    </row>
    <row r="232" ht="16" customHeight="1">
      <c r="A232" s="38" t="n">
        <v>44883</v>
      </c>
      <c r="B232" s="69">
        <f>RETORNOS_HIST!C232</f>
        <v/>
      </c>
      <c r="C232" s="42">
        <f>B232^2</f>
        <v/>
      </c>
      <c r="D232" s="42">
        <f>PARÂMETROS!B21*D231+(1-PARÂMETROS!B21)*C231</f>
        <v/>
      </c>
      <c r="E232" s="40">
        <f>SQRT(D232)</f>
        <v/>
      </c>
      <c r="F232" s="41">
        <f>E232*SQRT(PARÂMETROS!B10)</f>
        <v/>
      </c>
      <c r="G232" s="41">
        <f>VaR_PARAMÉTRICO!B12*E232</f>
        <v/>
      </c>
      <c r="H232" s="59">
        <f>G232*PARÂMETROS!B24</f>
        <v/>
      </c>
    </row>
    <row r="233" ht="16" customHeight="1">
      <c r="A233" s="35" t="n">
        <v>44886</v>
      </c>
      <c r="B233" s="68">
        <f>RETORNOS_HIST!C233</f>
        <v/>
      </c>
      <c r="C233" s="45">
        <f>B233^2</f>
        <v/>
      </c>
      <c r="D233" s="45">
        <f>PARÂMETROS!B21*D232+(1-PARÂMETROS!B21)*C232</f>
        <v/>
      </c>
      <c r="E233" s="43">
        <f>SQRT(D233)</f>
        <v/>
      </c>
      <c r="F233" s="44">
        <f>E233*SQRT(PARÂMETROS!B10)</f>
        <v/>
      </c>
      <c r="G233" s="44">
        <f>VaR_PARAMÉTRICO!B12*E233</f>
        <v/>
      </c>
      <c r="H233" s="57">
        <f>G233*PARÂMETROS!B24</f>
        <v/>
      </c>
    </row>
    <row r="234" ht="16" customHeight="1">
      <c r="A234" s="38" t="n">
        <v>44887</v>
      </c>
      <c r="B234" s="69">
        <f>RETORNOS_HIST!C234</f>
        <v/>
      </c>
      <c r="C234" s="42">
        <f>B234^2</f>
        <v/>
      </c>
      <c r="D234" s="42">
        <f>PARÂMETROS!B21*D233+(1-PARÂMETROS!B21)*C233</f>
        <v/>
      </c>
      <c r="E234" s="40">
        <f>SQRT(D234)</f>
        <v/>
      </c>
      <c r="F234" s="41">
        <f>E234*SQRT(PARÂMETROS!B10)</f>
        <v/>
      </c>
      <c r="G234" s="41">
        <f>VaR_PARAMÉTRICO!B12*E234</f>
        <v/>
      </c>
      <c r="H234" s="59">
        <f>G234*PARÂMETROS!B24</f>
        <v/>
      </c>
    </row>
    <row r="235" ht="16" customHeight="1">
      <c r="A235" s="35" t="n">
        <v>44888</v>
      </c>
      <c r="B235" s="68">
        <f>RETORNOS_HIST!C235</f>
        <v/>
      </c>
      <c r="C235" s="45">
        <f>B235^2</f>
        <v/>
      </c>
      <c r="D235" s="45">
        <f>PARÂMETROS!B21*D234+(1-PARÂMETROS!B21)*C234</f>
        <v/>
      </c>
      <c r="E235" s="43">
        <f>SQRT(D235)</f>
        <v/>
      </c>
      <c r="F235" s="44">
        <f>E235*SQRT(PARÂMETROS!B10)</f>
        <v/>
      </c>
      <c r="G235" s="44">
        <f>VaR_PARAMÉTRICO!B12*E235</f>
        <v/>
      </c>
      <c r="H235" s="57">
        <f>G235*PARÂMETROS!B24</f>
        <v/>
      </c>
    </row>
    <row r="236" ht="16" customHeight="1">
      <c r="A236" s="38" t="n">
        <v>44889</v>
      </c>
      <c r="B236" s="69">
        <f>RETORNOS_HIST!C236</f>
        <v/>
      </c>
      <c r="C236" s="42">
        <f>B236^2</f>
        <v/>
      </c>
      <c r="D236" s="42">
        <f>PARÂMETROS!B21*D235+(1-PARÂMETROS!B21)*C235</f>
        <v/>
      </c>
      <c r="E236" s="40">
        <f>SQRT(D236)</f>
        <v/>
      </c>
      <c r="F236" s="41">
        <f>E236*SQRT(PARÂMETROS!B10)</f>
        <v/>
      </c>
      <c r="G236" s="41">
        <f>VaR_PARAMÉTRICO!B12*E236</f>
        <v/>
      </c>
      <c r="H236" s="59">
        <f>G236*PARÂMETROS!B24</f>
        <v/>
      </c>
    </row>
    <row r="237" ht="16" customHeight="1">
      <c r="A237" s="35" t="n">
        <v>44890</v>
      </c>
      <c r="B237" s="68">
        <f>RETORNOS_HIST!C237</f>
        <v/>
      </c>
      <c r="C237" s="45">
        <f>B237^2</f>
        <v/>
      </c>
      <c r="D237" s="45">
        <f>PARÂMETROS!B21*D236+(1-PARÂMETROS!B21)*C236</f>
        <v/>
      </c>
      <c r="E237" s="43">
        <f>SQRT(D237)</f>
        <v/>
      </c>
      <c r="F237" s="44">
        <f>E237*SQRT(PARÂMETROS!B10)</f>
        <v/>
      </c>
      <c r="G237" s="44">
        <f>VaR_PARAMÉTRICO!B12*E237</f>
        <v/>
      </c>
      <c r="H237" s="57">
        <f>G237*PARÂMETROS!B24</f>
        <v/>
      </c>
    </row>
    <row r="238" ht="16" customHeight="1">
      <c r="A238" s="38" t="n">
        <v>44893</v>
      </c>
      <c r="B238" s="69">
        <f>RETORNOS_HIST!C238</f>
        <v/>
      </c>
      <c r="C238" s="42">
        <f>B238^2</f>
        <v/>
      </c>
      <c r="D238" s="42">
        <f>PARÂMETROS!B21*D237+(1-PARÂMETROS!B21)*C237</f>
        <v/>
      </c>
      <c r="E238" s="40">
        <f>SQRT(D238)</f>
        <v/>
      </c>
      <c r="F238" s="41">
        <f>E238*SQRT(PARÂMETROS!B10)</f>
        <v/>
      </c>
      <c r="G238" s="41">
        <f>VaR_PARAMÉTRICO!B12*E238</f>
        <v/>
      </c>
      <c r="H238" s="59">
        <f>G238*PARÂMETROS!B24</f>
        <v/>
      </c>
    </row>
    <row r="239" ht="16" customHeight="1">
      <c r="A239" s="35" t="n">
        <v>44894</v>
      </c>
      <c r="B239" s="68">
        <f>RETORNOS_HIST!C239</f>
        <v/>
      </c>
      <c r="C239" s="45">
        <f>B239^2</f>
        <v/>
      </c>
      <c r="D239" s="45">
        <f>PARÂMETROS!B21*D238+(1-PARÂMETROS!B21)*C238</f>
        <v/>
      </c>
      <c r="E239" s="43">
        <f>SQRT(D239)</f>
        <v/>
      </c>
      <c r="F239" s="44">
        <f>E239*SQRT(PARÂMETROS!B10)</f>
        <v/>
      </c>
      <c r="G239" s="44">
        <f>VaR_PARAMÉTRICO!B12*E239</f>
        <v/>
      </c>
      <c r="H239" s="57">
        <f>G239*PARÂMETROS!B24</f>
        <v/>
      </c>
    </row>
    <row r="240" ht="16" customHeight="1">
      <c r="A240" s="38" t="n">
        <v>44895</v>
      </c>
      <c r="B240" s="69">
        <f>RETORNOS_HIST!C240</f>
        <v/>
      </c>
      <c r="C240" s="42">
        <f>B240^2</f>
        <v/>
      </c>
      <c r="D240" s="42">
        <f>PARÂMETROS!B21*D239+(1-PARÂMETROS!B21)*C239</f>
        <v/>
      </c>
      <c r="E240" s="40">
        <f>SQRT(D240)</f>
        <v/>
      </c>
      <c r="F240" s="41">
        <f>E240*SQRT(PARÂMETROS!B10)</f>
        <v/>
      </c>
      <c r="G240" s="41">
        <f>VaR_PARAMÉTRICO!B12*E240</f>
        <v/>
      </c>
      <c r="H240" s="59">
        <f>G240*PARÂMETROS!B24</f>
        <v/>
      </c>
    </row>
    <row r="241" ht="16" customHeight="1">
      <c r="A241" s="35" t="n">
        <v>44896</v>
      </c>
      <c r="B241" s="68">
        <f>RETORNOS_HIST!C241</f>
        <v/>
      </c>
      <c r="C241" s="45">
        <f>B241^2</f>
        <v/>
      </c>
      <c r="D241" s="45">
        <f>PARÂMETROS!B21*D240+(1-PARÂMETROS!B21)*C240</f>
        <v/>
      </c>
      <c r="E241" s="43">
        <f>SQRT(D241)</f>
        <v/>
      </c>
      <c r="F241" s="44">
        <f>E241*SQRT(PARÂMETROS!B10)</f>
        <v/>
      </c>
      <c r="G241" s="44">
        <f>VaR_PARAMÉTRICO!B12*E241</f>
        <v/>
      </c>
      <c r="H241" s="57">
        <f>G241*PARÂMETROS!B24</f>
        <v/>
      </c>
    </row>
    <row r="242" ht="16" customHeight="1">
      <c r="A242" s="38" t="n">
        <v>44897</v>
      </c>
      <c r="B242" s="69">
        <f>RETORNOS_HIST!C242</f>
        <v/>
      </c>
      <c r="C242" s="42">
        <f>B242^2</f>
        <v/>
      </c>
      <c r="D242" s="42">
        <f>PARÂMETROS!B21*D241+(1-PARÂMETROS!B21)*C241</f>
        <v/>
      </c>
      <c r="E242" s="40">
        <f>SQRT(D242)</f>
        <v/>
      </c>
      <c r="F242" s="41">
        <f>E242*SQRT(PARÂMETROS!B10)</f>
        <v/>
      </c>
      <c r="G242" s="41">
        <f>VaR_PARAMÉTRICO!B12*E242</f>
        <v/>
      </c>
      <c r="H242" s="59">
        <f>G242*PARÂMETROS!B24</f>
        <v/>
      </c>
    </row>
    <row r="243" ht="16" customHeight="1">
      <c r="A243" s="35" t="n">
        <v>44900</v>
      </c>
      <c r="B243" s="68">
        <f>RETORNOS_HIST!C243</f>
        <v/>
      </c>
      <c r="C243" s="45">
        <f>B243^2</f>
        <v/>
      </c>
      <c r="D243" s="45">
        <f>PARÂMETROS!B21*D242+(1-PARÂMETROS!B21)*C242</f>
        <v/>
      </c>
      <c r="E243" s="43">
        <f>SQRT(D243)</f>
        <v/>
      </c>
      <c r="F243" s="44">
        <f>E243*SQRT(PARÂMETROS!B10)</f>
        <v/>
      </c>
      <c r="G243" s="44">
        <f>VaR_PARAMÉTRICO!B12*E243</f>
        <v/>
      </c>
      <c r="H243" s="57">
        <f>G243*PARÂMETROS!B24</f>
        <v/>
      </c>
    </row>
    <row r="244" ht="16" customHeight="1">
      <c r="A244" s="38" t="n">
        <v>44901</v>
      </c>
      <c r="B244" s="69">
        <f>RETORNOS_HIST!C244</f>
        <v/>
      </c>
      <c r="C244" s="42">
        <f>B244^2</f>
        <v/>
      </c>
      <c r="D244" s="42">
        <f>PARÂMETROS!B21*D243+(1-PARÂMETROS!B21)*C243</f>
        <v/>
      </c>
      <c r="E244" s="40">
        <f>SQRT(D244)</f>
        <v/>
      </c>
      <c r="F244" s="41">
        <f>E244*SQRT(PARÂMETROS!B10)</f>
        <v/>
      </c>
      <c r="G244" s="41">
        <f>VaR_PARAMÉTRICO!B12*E244</f>
        <v/>
      </c>
      <c r="H244" s="59">
        <f>G244*PARÂMETROS!B24</f>
        <v/>
      </c>
    </row>
    <row r="245" ht="16" customHeight="1">
      <c r="A245" s="35" t="n">
        <v>44902</v>
      </c>
      <c r="B245" s="68">
        <f>RETORNOS_HIST!C245</f>
        <v/>
      </c>
      <c r="C245" s="45">
        <f>B245^2</f>
        <v/>
      </c>
      <c r="D245" s="45">
        <f>PARÂMETROS!B21*D244+(1-PARÂMETROS!B21)*C244</f>
        <v/>
      </c>
      <c r="E245" s="43">
        <f>SQRT(D245)</f>
        <v/>
      </c>
      <c r="F245" s="44">
        <f>E245*SQRT(PARÂMETROS!B10)</f>
        <v/>
      </c>
      <c r="G245" s="44">
        <f>VaR_PARAMÉTRICO!B12*E245</f>
        <v/>
      </c>
      <c r="H245" s="57">
        <f>G245*PARÂMETROS!B24</f>
        <v/>
      </c>
    </row>
    <row r="246" ht="16" customHeight="1">
      <c r="A246" s="38" t="n">
        <v>44903</v>
      </c>
      <c r="B246" s="69">
        <f>RETORNOS_HIST!C246</f>
        <v/>
      </c>
      <c r="C246" s="42">
        <f>B246^2</f>
        <v/>
      </c>
      <c r="D246" s="42">
        <f>PARÂMETROS!B21*D245+(1-PARÂMETROS!B21)*C245</f>
        <v/>
      </c>
      <c r="E246" s="40">
        <f>SQRT(D246)</f>
        <v/>
      </c>
      <c r="F246" s="41">
        <f>E246*SQRT(PARÂMETROS!B10)</f>
        <v/>
      </c>
      <c r="G246" s="41">
        <f>VaR_PARAMÉTRICO!B12*E246</f>
        <v/>
      </c>
      <c r="H246" s="59">
        <f>G246*PARÂMETROS!B24</f>
        <v/>
      </c>
    </row>
    <row r="247" ht="16" customHeight="1">
      <c r="A247" s="35" t="n">
        <v>44904</v>
      </c>
      <c r="B247" s="68">
        <f>RETORNOS_HIST!C247</f>
        <v/>
      </c>
      <c r="C247" s="45">
        <f>B247^2</f>
        <v/>
      </c>
      <c r="D247" s="45">
        <f>PARÂMETROS!B21*D246+(1-PARÂMETROS!B21)*C246</f>
        <v/>
      </c>
      <c r="E247" s="43">
        <f>SQRT(D247)</f>
        <v/>
      </c>
      <c r="F247" s="44">
        <f>E247*SQRT(PARÂMETROS!B10)</f>
        <v/>
      </c>
      <c r="G247" s="44">
        <f>VaR_PARAMÉTRICO!B12*E247</f>
        <v/>
      </c>
      <c r="H247" s="57">
        <f>G247*PARÂMETROS!B24</f>
        <v/>
      </c>
    </row>
    <row r="248" ht="16" customHeight="1">
      <c r="A248" s="38" t="n">
        <v>44907</v>
      </c>
      <c r="B248" s="69">
        <f>RETORNOS_HIST!C248</f>
        <v/>
      </c>
      <c r="C248" s="42">
        <f>B248^2</f>
        <v/>
      </c>
      <c r="D248" s="42">
        <f>PARÂMETROS!B21*D247+(1-PARÂMETROS!B21)*C247</f>
        <v/>
      </c>
      <c r="E248" s="40">
        <f>SQRT(D248)</f>
        <v/>
      </c>
      <c r="F248" s="41">
        <f>E248*SQRT(PARÂMETROS!B10)</f>
        <v/>
      </c>
      <c r="G248" s="41">
        <f>VaR_PARAMÉTRICO!B12*E248</f>
        <v/>
      </c>
      <c r="H248" s="59">
        <f>G248*PARÂMETROS!B24</f>
        <v/>
      </c>
    </row>
    <row r="249" ht="16" customHeight="1">
      <c r="A249" s="35" t="n">
        <v>44908</v>
      </c>
      <c r="B249" s="68">
        <f>RETORNOS_HIST!C249</f>
        <v/>
      </c>
      <c r="C249" s="45">
        <f>B249^2</f>
        <v/>
      </c>
      <c r="D249" s="45">
        <f>PARÂMETROS!B21*D248+(1-PARÂMETROS!B21)*C248</f>
        <v/>
      </c>
      <c r="E249" s="43">
        <f>SQRT(D249)</f>
        <v/>
      </c>
      <c r="F249" s="44">
        <f>E249*SQRT(PARÂMETROS!B10)</f>
        <v/>
      </c>
      <c r="G249" s="44">
        <f>VaR_PARAMÉTRICO!B12*E249</f>
        <v/>
      </c>
      <c r="H249" s="57">
        <f>G249*PARÂMETROS!B24</f>
        <v/>
      </c>
    </row>
    <row r="250" ht="16" customHeight="1">
      <c r="A250" s="38" t="n">
        <v>44909</v>
      </c>
      <c r="B250" s="69">
        <f>RETORNOS_HIST!C250</f>
        <v/>
      </c>
      <c r="C250" s="42">
        <f>B250^2</f>
        <v/>
      </c>
      <c r="D250" s="42">
        <f>PARÂMETROS!B21*D249+(1-PARÂMETROS!B21)*C249</f>
        <v/>
      </c>
      <c r="E250" s="40">
        <f>SQRT(D250)</f>
        <v/>
      </c>
      <c r="F250" s="41">
        <f>E250*SQRT(PARÂMETROS!B10)</f>
        <v/>
      </c>
      <c r="G250" s="41">
        <f>VaR_PARAMÉTRICO!B12*E250</f>
        <v/>
      </c>
      <c r="H250" s="59">
        <f>G250*PARÂMETROS!B24</f>
        <v/>
      </c>
    </row>
    <row r="251" ht="16" customHeight="1">
      <c r="A251" s="35" t="n">
        <v>44910</v>
      </c>
      <c r="B251" s="68">
        <f>RETORNOS_HIST!C251</f>
        <v/>
      </c>
      <c r="C251" s="45">
        <f>B251^2</f>
        <v/>
      </c>
      <c r="D251" s="45">
        <f>PARÂMETROS!B21*D250+(1-PARÂMETROS!B21)*C250</f>
        <v/>
      </c>
      <c r="E251" s="43">
        <f>SQRT(D251)</f>
        <v/>
      </c>
      <c r="F251" s="44">
        <f>E251*SQRT(PARÂMETROS!B10)</f>
        <v/>
      </c>
      <c r="G251" s="44">
        <f>VaR_PARAMÉTRICO!B12*E251</f>
        <v/>
      </c>
      <c r="H251" s="57">
        <f>G251*PARÂMETROS!B24</f>
        <v/>
      </c>
    </row>
    <row r="252" ht="16" customHeight="1">
      <c r="A252" s="38" t="n">
        <v>44911</v>
      </c>
      <c r="B252" s="69">
        <f>RETORNOS_HIST!C252</f>
        <v/>
      </c>
      <c r="C252" s="42">
        <f>B252^2</f>
        <v/>
      </c>
      <c r="D252" s="42">
        <f>PARÂMETROS!B21*D251+(1-PARÂMETROS!B21)*C251</f>
        <v/>
      </c>
      <c r="E252" s="40">
        <f>SQRT(D252)</f>
        <v/>
      </c>
      <c r="F252" s="41">
        <f>E252*SQRT(PARÂMETROS!B10)</f>
        <v/>
      </c>
      <c r="G252" s="41">
        <f>VaR_PARAMÉTRICO!B12*E252</f>
        <v/>
      </c>
      <c r="H252" s="59">
        <f>G252*PARÂMETROS!B24</f>
        <v/>
      </c>
    </row>
    <row r="253" ht="16" customHeight="1">
      <c r="A253" s="35" t="n">
        <v>44914</v>
      </c>
      <c r="B253" s="68">
        <f>RETORNOS_HIST!C253</f>
        <v/>
      </c>
      <c r="C253" s="45">
        <f>B253^2</f>
        <v/>
      </c>
      <c r="D253" s="45">
        <f>PARÂMETROS!B21*D252+(1-PARÂMETROS!B21)*C252</f>
        <v/>
      </c>
      <c r="E253" s="43">
        <f>SQRT(D253)</f>
        <v/>
      </c>
      <c r="F253" s="44">
        <f>E253*SQRT(PARÂMETROS!B10)</f>
        <v/>
      </c>
      <c r="G253" s="44">
        <f>VaR_PARAMÉTRICO!B12*E253</f>
        <v/>
      </c>
      <c r="H253" s="57">
        <f>G253*PARÂMETROS!B24</f>
        <v/>
      </c>
    </row>
    <row r="254" ht="16" customHeight="1">
      <c r="A254" s="38" t="n">
        <v>44915</v>
      </c>
      <c r="B254" s="69">
        <f>RETORNOS_HIST!C254</f>
        <v/>
      </c>
      <c r="C254" s="42">
        <f>B254^2</f>
        <v/>
      </c>
      <c r="D254" s="42">
        <f>PARÂMETROS!B21*D253+(1-PARÂMETROS!B21)*C253</f>
        <v/>
      </c>
      <c r="E254" s="40">
        <f>SQRT(D254)</f>
        <v/>
      </c>
      <c r="F254" s="41">
        <f>E254*SQRT(PARÂMETROS!B10)</f>
        <v/>
      </c>
      <c r="G254" s="41">
        <f>VaR_PARAMÉTRICO!B12*E254</f>
        <v/>
      </c>
      <c r="H254" s="59">
        <f>G254*PARÂMETROS!B24</f>
        <v/>
      </c>
    </row>
    <row r="255" ht="16" customHeight="1">
      <c r="A255" s="35" t="n">
        <v>44916</v>
      </c>
      <c r="B255" s="68">
        <f>RETORNOS_HIST!C255</f>
        <v/>
      </c>
      <c r="C255" s="45">
        <f>B255^2</f>
        <v/>
      </c>
      <c r="D255" s="45">
        <f>PARÂMETROS!B21*D254+(1-PARÂMETROS!B21)*C254</f>
        <v/>
      </c>
      <c r="E255" s="43">
        <f>SQRT(D255)</f>
        <v/>
      </c>
      <c r="F255" s="44">
        <f>E255*SQRT(PARÂMETROS!B10)</f>
        <v/>
      </c>
      <c r="G255" s="44">
        <f>VaR_PARAMÉTRICO!B12*E255</f>
        <v/>
      </c>
      <c r="H255" s="57">
        <f>G255*PARÂMETROS!B24</f>
        <v/>
      </c>
    </row>
    <row r="256" ht="16" customHeight="1">
      <c r="A256" s="38" t="n">
        <v>44917</v>
      </c>
      <c r="B256" s="69">
        <f>RETORNOS_HIST!C256</f>
        <v/>
      </c>
      <c r="C256" s="42">
        <f>B256^2</f>
        <v/>
      </c>
      <c r="D256" s="42">
        <f>PARÂMETROS!B21*D255+(1-PARÂMETROS!B21)*C255</f>
        <v/>
      </c>
      <c r="E256" s="40">
        <f>SQRT(D256)</f>
        <v/>
      </c>
      <c r="F256" s="41">
        <f>E256*SQRT(PARÂMETROS!B10)</f>
        <v/>
      </c>
      <c r="G256" s="41">
        <f>VaR_PARAMÉTRICO!B12*E256</f>
        <v/>
      </c>
      <c r="H256" s="59">
        <f>G256*PARÂMETROS!B24</f>
        <v/>
      </c>
    </row>
    <row r="257" ht="16" customHeight="1">
      <c r="A257" s="35" t="n">
        <v>44918</v>
      </c>
      <c r="B257" s="68">
        <f>RETORNOS_HIST!C257</f>
        <v/>
      </c>
      <c r="C257" s="45">
        <f>B257^2</f>
        <v/>
      </c>
      <c r="D257" s="45">
        <f>PARÂMETROS!B21*D256+(1-PARÂMETROS!B21)*C256</f>
        <v/>
      </c>
      <c r="E257" s="43">
        <f>SQRT(D257)</f>
        <v/>
      </c>
      <c r="F257" s="44">
        <f>E257*SQRT(PARÂMETROS!B10)</f>
        <v/>
      </c>
      <c r="G257" s="44">
        <f>VaR_PARAMÉTRICO!B12*E257</f>
        <v/>
      </c>
      <c r="H257" s="57">
        <f>G257*PARÂMETROS!B24</f>
        <v/>
      </c>
    </row>
    <row r="258" ht="16" customHeight="1">
      <c r="A258" s="38" t="n">
        <v>44921</v>
      </c>
      <c r="B258" s="69">
        <f>RETORNOS_HIST!C258</f>
        <v/>
      </c>
      <c r="C258" s="42">
        <f>B258^2</f>
        <v/>
      </c>
      <c r="D258" s="42">
        <f>PARÂMETROS!B21*D257+(1-PARÂMETROS!B21)*C257</f>
        <v/>
      </c>
      <c r="E258" s="40">
        <f>SQRT(D258)</f>
        <v/>
      </c>
      <c r="F258" s="41">
        <f>E258*SQRT(PARÂMETROS!B10)</f>
        <v/>
      </c>
      <c r="G258" s="41">
        <f>VaR_PARAMÉTRICO!B12*E258</f>
        <v/>
      </c>
      <c r="H258" s="59">
        <f>G258*PARÂMETROS!B24</f>
        <v/>
      </c>
    </row>
    <row r="259" ht="16" customHeight="1">
      <c r="A259" s="35" t="n">
        <v>44922</v>
      </c>
      <c r="B259" s="68">
        <f>RETORNOS_HIST!C259</f>
        <v/>
      </c>
      <c r="C259" s="45">
        <f>B259^2</f>
        <v/>
      </c>
      <c r="D259" s="45">
        <f>PARÂMETROS!B21*D258+(1-PARÂMETROS!B21)*C258</f>
        <v/>
      </c>
      <c r="E259" s="43">
        <f>SQRT(D259)</f>
        <v/>
      </c>
      <c r="F259" s="44">
        <f>E259*SQRT(PARÂMETROS!B10)</f>
        <v/>
      </c>
      <c r="G259" s="44">
        <f>VaR_PARAMÉTRICO!B12*E259</f>
        <v/>
      </c>
      <c r="H259" s="57">
        <f>G259*PARÂMETROS!B24</f>
        <v/>
      </c>
    </row>
    <row r="260" ht="16" customHeight="1">
      <c r="A260" s="38" t="n">
        <v>44923</v>
      </c>
      <c r="B260" s="69">
        <f>RETORNOS_HIST!C260</f>
        <v/>
      </c>
      <c r="C260" s="42">
        <f>B260^2</f>
        <v/>
      </c>
      <c r="D260" s="42">
        <f>PARÂMETROS!B21*D259+(1-PARÂMETROS!B21)*C259</f>
        <v/>
      </c>
      <c r="E260" s="40">
        <f>SQRT(D260)</f>
        <v/>
      </c>
      <c r="F260" s="41">
        <f>E260*SQRT(PARÂMETROS!B10)</f>
        <v/>
      </c>
      <c r="G260" s="41">
        <f>VaR_PARAMÉTRICO!B12*E260</f>
        <v/>
      </c>
      <c r="H260" s="59">
        <f>G260*PARÂMETROS!B24</f>
        <v/>
      </c>
    </row>
    <row r="261" ht="16" customHeight="1">
      <c r="A261" s="35" t="n">
        <v>44924</v>
      </c>
      <c r="B261" s="68">
        <f>RETORNOS_HIST!C261</f>
        <v/>
      </c>
      <c r="C261" s="45">
        <f>B261^2</f>
        <v/>
      </c>
      <c r="D261" s="45">
        <f>PARÂMETROS!B21*D260+(1-PARÂMETROS!B21)*C260</f>
        <v/>
      </c>
      <c r="E261" s="43">
        <f>SQRT(D261)</f>
        <v/>
      </c>
      <c r="F261" s="44">
        <f>E261*SQRT(PARÂMETROS!B10)</f>
        <v/>
      </c>
      <c r="G261" s="44">
        <f>VaR_PARAMÉTRICO!B12*E261</f>
        <v/>
      </c>
      <c r="H261" s="57">
        <f>G261*PARÂMETROS!B24</f>
        <v/>
      </c>
    </row>
    <row r="262" ht="16" customHeight="1">
      <c r="A262" s="38" t="n">
        <v>44925</v>
      </c>
      <c r="B262" s="69">
        <f>RETORNOS_HIST!C262</f>
        <v/>
      </c>
      <c r="C262" s="42">
        <f>B262^2</f>
        <v/>
      </c>
      <c r="D262" s="42">
        <f>PARÂMETROS!B21*D261+(1-PARÂMETROS!B21)*C261</f>
        <v/>
      </c>
      <c r="E262" s="40">
        <f>SQRT(D262)</f>
        <v/>
      </c>
      <c r="F262" s="41">
        <f>E262*SQRT(PARÂMETROS!B10)</f>
        <v/>
      </c>
      <c r="G262" s="41">
        <f>VaR_PARAMÉTRICO!B12*E262</f>
        <v/>
      </c>
      <c r="H262" s="59">
        <f>G262*PARÂMETROS!B24</f>
        <v/>
      </c>
    </row>
    <row r="263" ht="16" customHeight="1">
      <c r="A263" s="35" t="n">
        <v>44928</v>
      </c>
      <c r="B263" s="68">
        <f>RETORNOS_HIST!C263</f>
        <v/>
      </c>
      <c r="C263" s="45">
        <f>B263^2</f>
        <v/>
      </c>
      <c r="D263" s="45">
        <f>PARÂMETROS!B21*D262+(1-PARÂMETROS!B21)*C262</f>
        <v/>
      </c>
      <c r="E263" s="43">
        <f>SQRT(D263)</f>
        <v/>
      </c>
      <c r="F263" s="44">
        <f>E263*SQRT(PARÂMETROS!B10)</f>
        <v/>
      </c>
      <c r="G263" s="44">
        <f>VaR_PARAMÉTRICO!B12*E263</f>
        <v/>
      </c>
      <c r="H263" s="57">
        <f>G263*PARÂMETROS!B24</f>
        <v/>
      </c>
    </row>
    <row r="264" ht="16" customHeight="1">
      <c r="A264" s="38" t="n">
        <v>44929</v>
      </c>
      <c r="B264" s="69">
        <f>RETORNOS_HIST!C264</f>
        <v/>
      </c>
      <c r="C264" s="42">
        <f>B264^2</f>
        <v/>
      </c>
      <c r="D264" s="42">
        <f>PARÂMETROS!B21*D263+(1-PARÂMETROS!B21)*C263</f>
        <v/>
      </c>
      <c r="E264" s="40">
        <f>SQRT(D264)</f>
        <v/>
      </c>
      <c r="F264" s="41">
        <f>E264*SQRT(PARÂMETROS!B10)</f>
        <v/>
      </c>
      <c r="G264" s="41">
        <f>VaR_PARAMÉTRICO!B12*E264</f>
        <v/>
      </c>
      <c r="H264" s="59">
        <f>G264*PARÂMETROS!B24</f>
        <v/>
      </c>
    </row>
    <row r="265" ht="16" customHeight="1">
      <c r="A265" s="35" t="n">
        <v>44930</v>
      </c>
      <c r="B265" s="68">
        <f>RETORNOS_HIST!C265</f>
        <v/>
      </c>
      <c r="C265" s="45">
        <f>B265^2</f>
        <v/>
      </c>
      <c r="D265" s="45">
        <f>PARÂMETROS!B21*D264+(1-PARÂMETROS!B21)*C264</f>
        <v/>
      </c>
      <c r="E265" s="43">
        <f>SQRT(D265)</f>
        <v/>
      </c>
      <c r="F265" s="44">
        <f>E265*SQRT(PARÂMETROS!B10)</f>
        <v/>
      </c>
      <c r="G265" s="44">
        <f>VaR_PARAMÉTRICO!B12*E265</f>
        <v/>
      </c>
      <c r="H265" s="57">
        <f>G265*PARÂMETROS!B24</f>
        <v/>
      </c>
    </row>
    <row r="266" ht="16" customHeight="1">
      <c r="A266" s="38" t="n">
        <v>44931</v>
      </c>
      <c r="B266" s="69">
        <f>RETORNOS_HIST!C266</f>
        <v/>
      </c>
      <c r="C266" s="42">
        <f>B266^2</f>
        <v/>
      </c>
      <c r="D266" s="42">
        <f>PARÂMETROS!B21*D265+(1-PARÂMETROS!B21)*C265</f>
        <v/>
      </c>
      <c r="E266" s="40">
        <f>SQRT(D266)</f>
        <v/>
      </c>
      <c r="F266" s="41">
        <f>E266*SQRT(PARÂMETROS!B10)</f>
        <v/>
      </c>
      <c r="G266" s="41">
        <f>VaR_PARAMÉTRICO!B12*E266</f>
        <v/>
      </c>
      <c r="H266" s="59">
        <f>G266*PARÂMETROS!B24</f>
        <v/>
      </c>
    </row>
    <row r="267" ht="16" customHeight="1">
      <c r="A267" s="35" t="n">
        <v>44932</v>
      </c>
      <c r="B267" s="68">
        <f>RETORNOS_HIST!C267</f>
        <v/>
      </c>
      <c r="C267" s="45">
        <f>B267^2</f>
        <v/>
      </c>
      <c r="D267" s="45">
        <f>PARÂMETROS!B21*D266+(1-PARÂMETROS!B21)*C266</f>
        <v/>
      </c>
      <c r="E267" s="43">
        <f>SQRT(D267)</f>
        <v/>
      </c>
      <c r="F267" s="44">
        <f>E267*SQRT(PARÂMETROS!B10)</f>
        <v/>
      </c>
      <c r="G267" s="44">
        <f>VaR_PARAMÉTRICO!B12*E267</f>
        <v/>
      </c>
      <c r="H267" s="57">
        <f>G267*PARÂMETROS!B24</f>
        <v/>
      </c>
    </row>
    <row r="268" ht="16" customHeight="1">
      <c r="A268" s="38" t="n">
        <v>44935</v>
      </c>
      <c r="B268" s="69">
        <f>RETORNOS_HIST!C268</f>
        <v/>
      </c>
      <c r="C268" s="42">
        <f>B268^2</f>
        <v/>
      </c>
      <c r="D268" s="42">
        <f>PARÂMETROS!B21*D267+(1-PARÂMETROS!B21)*C267</f>
        <v/>
      </c>
      <c r="E268" s="40">
        <f>SQRT(D268)</f>
        <v/>
      </c>
      <c r="F268" s="41">
        <f>E268*SQRT(PARÂMETROS!B10)</f>
        <v/>
      </c>
      <c r="G268" s="41">
        <f>VaR_PARAMÉTRICO!B12*E268</f>
        <v/>
      </c>
      <c r="H268" s="59">
        <f>G268*PARÂMETROS!B24</f>
        <v/>
      </c>
    </row>
    <row r="269" ht="16" customHeight="1">
      <c r="A269" s="35" t="n">
        <v>44936</v>
      </c>
      <c r="B269" s="68">
        <f>RETORNOS_HIST!C269</f>
        <v/>
      </c>
      <c r="C269" s="45">
        <f>B269^2</f>
        <v/>
      </c>
      <c r="D269" s="45">
        <f>PARÂMETROS!B21*D268+(1-PARÂMETROS!B21)*C268</f>
        <v/>
      </c>
      <c r="E269" s="43">
        <f>SQRT(D269)</f>
        <v/>
      </c>
      <c r="F269" s="44">
        <f>E269*SQRT(PARÂMETROS!B10)</f>
        <v/>
      </c>
      <c r="G269" s="44">
        <f>VaR_PARAMÉTRICO!B12*E269</f>
        <v/>
      </c>
      <c r="H269" s="57">
        <f>G269*PARÂMETROS!B24</f>
        <v/>
      </c>
    </row>
    <row r="270" ht="16" customHeight="1">
      <c r="A270" s="38" t="n">
        <v>44937</v>
      </c>
      <c r="B270" s="69">
        <f>RETORNOS_HIST!C270</f>
        <v/>
      </c>
      <c r="C270" s="42">
        <f>B270^2</f>
        <v/>
      </c>
      <c r="D270" s="42">
        <f>PARÂMETROS!B21*D269+(1-PARÂMETROS!B21)*C269</f>
        <v/>
      </c>
      <c r="E270" s="40">
        <f>SQRT(D270)</f>
        <v/>
      </c>
      <c r="F270" s="41">
        <f>E270*SQRT(PARÂMETROS!B10)</f>
        <v/>
      </c>
      <c r="G270" s="41">
        <f>VaR_PARAMÉTRICO!B12*E270</f>
        <v/>
      </c>
      <c r="H270" s="59">
        <f>G270*PARÂMETROS!B24</f>
        <v/>
      </c>
    </row>
    <row r="271" ht="16" customHeight="1">
      <c r="A271" s="35" t="n">
        <v>44938</v>
      </c>
      <c r="B271" s="68">
        <f>RETORNOS_HIST!C271</f>
        <v/>
      </c>
      <c r="C271" s="45">
        <f>B271^2</f>
        <v/>
      </c>
      <c r="D271" s="45">
        <f>PARÂMETROS!B21*D270+(1-PARÂMETROS!B21)*C270</f>
        <v/>
      </c>
      <c r="E271" s="43">
        <f>SQRT(D271)</f>
        <v/>
      </c>
      <c r="F271" s="44">
        <f>E271*SQRT(PARÂMETROS!B10)</f>
        <v/>
      </c>
      <c r="G271" s="44">
        <f>VaR_PARAMÉTRICO!B12*E271</f>
        <v/>
      </c>
      <c r="H271" s="57">
        <f>G271*PARÂMETROS!B24</f>
        <v/>
      </c>
    </row>
    <row r="272" ht="16" customHeight="1">
      <c r="A272" s="38" t="n">
        <v>44939</v>
      </c>
      <c r="B272" s="69">
        <f>RETORNOS_HIST!C272</f>
        <v/>
      </c>
      <c r="C272" s="42">
        <f>B272^2</f>
        <v/>
      </c>
      <c r="D272" s="42">
        <f>PARÂMETROS!B21*D271+(1-PARÂMETROS!B21)*C271</f>
        <v/>
      </c>
      <c r="E272" s="40">
        <f>SQRT(D272)</f>
        <v/>
      </c>
      <c r="F272" s="41">
        <f>E272*SQRT(PARÂMETROS!B10)</f>
        <v/>
      </c>
      <c r="G272" s="41">
        <f>VaR_PARAMÉTRICO!B12*E272</f>
        <v/>
      </c>
      <c r="H272" s="59">
        <f>G272*PARÂMETROS!B24</f>
        <v/>
      </c>
    </row>
    <row r="273" ht="16" customHeight="1">
      <c r="A273" s="35" t="n">
        <v>44942</v>
      </c>
      <c r="B273" s="68">
        <f>RETORNOS_HIST!C273</f>
        <v/>
      </c>
      <c r="C273" s="45">
        <f>B273^2</f>
        <v/>
      </c>
      <c r="D273" s="45">
        <f>PARÂMETROS!B21*D272+(1-PARÂMETROS!B21)*C272</f>
        <v/>
      </c>
      <c r="E273" s="43">
        <f>SQRT(D273)</f>
        <v/>
      </c>
      <c r="F273" s="44">
        <f>E273*SQRT(PARÂMETROS!B10)</f>
        <v/>
      </c>
      <c r="G273" s="44">
        <f>VaR_PARAMÉTRICO!B12*E273</f>
        <v/>
      </c>
      <c r="H273" s="57">
        <f>G273*PARÂMETROS!B24</f>
        <v/>
      </c>
    </row>
    <row r="274" ht="16" customHeight="1">
      <c r="A274" s="38" t="n">
        <v>44943</v>
      </c>
      <c r="B274" s="69">
        <f>RETORNOS_HIST!C274</f>
        <v/>
      </c>
      <c r="C274" s="42">
        <f>B274^2</f>
        <v/>
      </c>
      <c r="D274" s="42">
        <f>PARÂMETROS!B21*D273+(1-PARÂMETROS!B21)*C273</f>
        <v/>
      </c>
      <c r="E274" s="40">
        <f>SQRT(D274)</f>
        <v/>
      </c>
      <c r="F274" s="41">
        <f>E274*SQRT(PARÂMETROS!B10)</f>
        <v/>
      </c>
      <c r="G274" s="41">
        <f>VaR_PARAMÉTRICO!B12*E274</f>
        <v/>
      </c>
      <c r="H274" s="59">
        <f>G274*PARÂMETROS!B24</f>
        <v/>
      </c>
    </row>
    <row r="275" ht="16" customHeight="1">
      <c r="A275" s="35" t="n">
        <v>44944</v>
      </c>
      <c r="B275" s="68">
        <f>RETORNOS_HIST!C275</f>
        <v/>
      </c>
      <c r="C275" s="45">
        <f>B275^2</f>
        <v/>
      </c>
      <c r="D275" s="45">
        <f>PARÂMETROS!B21*D274+(1-PARÂMETROS!B21)*C274</f>
        <v/>
      </c>
      <c r="E275" s="43">
        <f>SQRT(D275)</f>
        <v/>
      </c>
      <c r="F275" s="44">
        <f>E275*SQRT(PARÂMETROS!B10)</f>
        <v/>
      </c>
      <c r="G275" s="44">
        <f>VaR_PARAMÉTRICO!B12*E275</f>
        <v/>
      </c>
      <c r="H275" s="57">
        <f>G275*PARÂMETROS!B24</f>
        <v/>
      </c>
    </row>
    <row r="276" ht="16" customHeight="1">
      <c r="A276" s="38" t="n">
        <v>44945</v>
      </c>
      <c r="B276" s="69">
        <f>RETORNOS_HIST!C276</f>
        <v/>
      </c>
      <c r="C276" s="42">
        <f>B276^2</f>
        <v/>
      </c>
      <c r="D276" s="42">
        <f>PARÂMETROS!B21*D275+(1-PARÂMETROS!B21)*C275</f>
        <v/>
      </c>
      <c r="E276" s="40">
        <f>SQRT(D276)</f>
        <v/>
      </c>
      <c r="F276" s="41">
        <f>E276*SQRT(PARÂMETROS!B10)</f>
        <v/>
      </c>
      <c r="G276" s="41">
        <f>VaR_PARAMÉTRICO!B12*E276</f>
        <v/>
      </c>
      <c r="H276" s="59">
        <f>G276*PARÂMETROS!B24</f>
        <v/>
      </c>
    </row>
    <row r="277" ht="16" customHeight="1">
      <c r="A277" s="35" t="n">
        <v>44946</v>
      </c>
      <c r="B277" s="68">
        <f>RETORNOS_HIST!C277</f>
        <v/>
      </c>
      <c r="C277" s="45">
        <f>B277^2</f>
        <v/>
      </c>
      <c r="D277" s="45">
        <f>PARÂMETROS!B21*D276+(1-PARÂMETROS!B21)*C276</f>
        <v/>
      </c>
      <c r="E277" s="43">
        <f>SQRT(D277)</f>
        <v/>
      </c>
      <c r="F277" s="44">
        <f>E277*SQRT(PARÂMETROS!B10)</f>
        <v/>
      </c>
      <c r="G277" s="44">
        <f>VaR_PARAMÉTRICO!B12*E277</f>
        <v/>
      </c>
      <c r="H277" s="57">
        <f>G277*PARÂMETROS!B24</f>
        <v/>
      </c>
    </row>
    <row r="278" ht="16" customHeight="1">
      <c r="A278" s="38" t="n">
        <v>44949</v>
      </c>
      <c r="B278" s="69">
        <f>RETORNOS_HIST!C278</f>
        <v/>
      </c>
      <c r="C278" s="42">
        <f>B278^2</f>
        <v/>
      </c>
      <c r="D278" s="42">
        <f>PARÂMETROS!B21*D277+(1-PARÂMETROS!B21)*C277</f>
        <v/>
      </c>
      <c r="E278" s="40">
        <f>SQRT(D278)</f>
        <v/>
      </c>
      <c r="F278" s="41">
        <f>E278*SQRT(PARÂMETROS!B10)</f>
        <v/>
      </c>
      <c r="G278" s="41">
        <f>VaR_PARAMÉTRICO!B12*E278</f>
        <v/>
      </c>
      <c r="H278" s="59">
        <f>G278*PARÂMETROS!B24</f>
        <v/>
      </c>
    </row>
    <row r="279" ht="16" customHeight="1">
      <c r="A279" s="35" t="n">
        <v>44950</v>
      </c>
      <c r="B279" s="68">
        <f>RETORNOS_HIST!C279</f>
        <v/>
      </c>
      <c r="C279" s="45">
        <f>B279^2</f>
        <v/>
      </c>
      <c r="D279" s="45">
        <f>PARÂMETROS!B21*D278+(1-PARÂMETROS!B21)*C278</f>
        <v/>
      </c>
      <c r="E279" s="43">
        <f>SQRT(D279)</f>
        <v/>
      </c>
      <c r="F279" s="44">
        <f>E279*SQRT(PARÂMETROS!B10)</f>
        <v/>
      </c>
      <c r="G279" s="44">
        <f>VaR_PARAMÉTRICO!B12*E279</f>
        <v/>
      </c>
      <c r="H279" s="57">
        <f>G279*PARÂMETROS!B24</f>
        <v/>
      </c>
    </row>
    <row r="280" ht="16" customHeight="1">
      <c r="A280" s="38" t="n">
        <v>44951</v>
      </c>
      <c r="B280" s="69">
        <f>RETORNOS_HIST!C280</f>
        <v/>
      </c>
      <c r="C280" s="42">
        <f>B280^2</f>
        <v/>
      </c>
      <c r="D280" s="42">
        <f>PARÂMETROS!B21*D279+(1-PARÂMETROS!B21)*C279</f>
        <v/>
      </c>
      <c r="E280" s="40">
        <f>SQRT(D280)</f>
        <v/>
      </c>
      <c r="F280" s="41">
        <f>E280*SQRT(PARÂMETROS!B10)</f>
        <v/>
      </c>
      <c r="G280" s="41">
        <f>VaR_PARAMÉTRICO!B12*E280</f>
        <v/>
      </c>
      <c r="H280" s="59">
        <f>G280*PARÂMETROS!B24</f>
        <v/>
      </c>
    </row>
    <row r="281" ht="16" customHeight="1">
      <c r="A281" s="35" t="n">
        <v>44952</v>
      </c>
      <c r="B281" s="68">
        <f>RETORNOS_HIST!C281</f>
        <v/>
      </c>
      <c r="C281" s="45">
        <f>B281^2</f>
        <v/>
      </c>
      <c r="D281" s="45">
        <f>PARÂMETROS!B21*D280+(1-PARÂMETROS!B21)*C280</f>
        <v/>
      </c>
      <c r="E281" s="43">
        <f>SQRT(D281)</f>
        <v/>
      </c>
      <c r="F281" s="44">
        <f>E281*SQRT(PARÂMETROS!B10)</f>
        <v/>
      </c>
      <c r="G281" s="44">
        <f>VaR_PARAMÉTRICO!B12*E281</f>
        <v/>
      </c>
      <c r="H281" s="57">
        <f>G281*PARÂMETROS!B24</f>
        <v/>
      </c>
    </row>
    <row r="282" ht="16" customHeight="1">
      <c r="A282" s="38" t="n">
        <v>44953</v>
      </c>
      <c r="B282" s="69">
        <f>RETORNOS_HIST!C282</f>
        <v/>
      </c>
      <c r="C282" s="42">
        <f>B282^2</f>
        <v/>
      </c>
      <c r="D282" s="42">
        <f>PARÂMETROS!B21*D281+(1-PARÂMETROS!B21)*C281</f>
        <v/>
      </c>
      <c r="E282" s="40">
        <f>SQRT(D282)</f>
        <v/>
      </c>
      <c r="F282" s="41">
        <f>E282*SQRT(PARÂMETROS!B10)</f>
        <v/>
      </c>
      <c r="G282" s="41">
        <f>VaR_PARAMÉTRICO!B12*E282</f>
        <v/>
      </c>
      <c r="H282" s="59">
        <f>G282*PARÂMETROS!B24</f>
        <v/>
      </c>
    </row>
    <row r="283" ht="16" customHeight="1">
      <c r="A283" s="35" t="n">
        <v>44956</v>
      </c>
      <c r="B283" s="68">
        <f>RETORNOS_HIST!C283</f>
        <v/>
      </c>
      <c r="C283" s="45">
        <f>B283^2</f>
        <v/>
      </c>
      <c r="D283" s="45">
        <f>PARÂMETROS!B21*D282+(1-PARÂMETROS!B21)*C282</f>
        <v/>
      </c>
      <c r="E283" s="43">
        <f>SQRT(D283)</f>
        <v/>
      </c>
      <c r="F283" s="44">
        <f>E283*SQRT(PARÂMETROS!B10)</f>
        <v/>
      </c>
      <c r="G283" s="44">
        <f>VaR_PARAMÉTRICO!B12*E283</f>
        <v/>
      </c>
      <c r="H283" s="57">
        <f>G283*PARÂMETROS!B24</f>
        <v/>
      </c>
    </row>
    <row r="284" ht="16" customHeight="1">
      <c r="A284" s="38" t="n">
        <v>44957</v>
      </c>
      <c r="B284" s="69">
        <f>RETORNOS_HIST!C284</f>
        <v/>
      </c>
      <c r="C284" s="42">
        <f>B284^2</f>
        <v/>
      </c>
      <c r="D284" s="42">
        <f>PARÂMETROS!B21*D283+(1-PARÂMETROS!B21)*C283</f>
        <v/>
      </c>
      <c r="E284" s="40">
        <f>SQRT(D284)</f>
        <v/>
      </c>
      <c r="F284" s="41">
        <f>E284*SQRT(PARÂMETROS!B10)</f>
        <v/>
      </c>
      <c r="G284" s="41">
        <f>VaR_PARAMÉTRICO!B12*E284</f>
        <v/>
      </c>
      <c r="H284" s="59">
        <f>G284*PARÂMETROS!B24</f>
        <v/>
      </c>
    </row>
    <row r="285" ht="16" customHeight="1">
      <c r="A285" s="35" t="n">
        <v>44958</v>
      </c>
      <c r="B285" s="68">
        <f>RETORNOS_HIST!C285</f>
        <v/>
      </c>
      <c r="C285" s="45">
        <f>B285^2</f>
        <v/>
      </c>
      <c r="D285" s="45">
        <f>PARÂMETROS!B21*D284+(1-PARÂMETROS!B21)*C284</f>
        <v/>
      </c>
      <c r="E285" s="43">
        <f>SQRT(D285)</f>
        <v/>
      </c>
      <c r="F285" s="44">
        <f>E285*SQRT(PARÂMETROS!B10)</f>
        <v/>
      </c>
      <c r="G285" s="44">
        <f>VaR_PARAMÉTRICO!B12*E285</f>
        <v/>
      </c>
      <c r="H285" s="57">
        <f>G285*PARÂMETROS!B24</f>
        <v/>
      </c>
    </row>
    <row r="286" ht="16" customHeight="1">
      <c r="A286" s="38" t="n">
        <v>44959</v>
      </c>
      <c r="B286" s="69">
        <f>RETORNOS_HIST!C286</f>
        <v/>
      </c>
      <c r="C286" s="42">
        <f>B286^2</f>
        <v/>
      </c>
      <c r="D286" s="42">
        <f>PARÂMETROS!B21*D285+(1-PARÂMETROS!B21)*C285</f>
        <v/>
      </c>
      <c r="E286" s="40">
        <f>SQRT(D286)</f>
        <v/>
      </c>
      <c r="F286" s="41">
        <f>E286*SQRT(PARÂMETROS!B10)</f>
        <v/>
      </c>
      <c r="G286" s="41">
        <f>VaR_PARAMÉTRICO!B12*E286</f>
        <v/>
      </c>
      <c r="H286" s="59">
        <f>G286*PARÂMETROS!B24</f>
        <v/>
      </c>
    </row>
    <row r="287" ht="16" customHeight="1">
      <c r="A287" s="35" t="n">
        <v>44960</v>
      </c>
      <c r="B287" s="68">
        <f>RETORNOS_HIST!C287</f>
        <v/>
      </c>
      <c r="C287" s="45">
        <f>B287^2</f>
        <v/>
      </c>
      <c r="D287" s="45">
        <f>PARÂMETROS!B21*D286+(1-PARÂMETROS!B21)*C286</f>
        <v/>
      </c>
      <c r="E287" s="43">
        <f>SQRT(D287)</f>
        <v/>
      </c>
      <c r="F287" s="44">
        <f>E287*SQRT(PARÂMETROS!B10)</f>
        <v/>
      </c>
      <c r="G287" s="44">
        <f>VaR_PARAMÉTRICO!B12*E287</f>
        <v/>
      </c>
      <c r="H287" s="57">
        <f>G287*PARÂMETROS!B24</f>
        <v/>
      </c>
    </row>
    <row r="288" ht="16" customHeight="1">
      <c r="A288" s="38" t="n">
        <v>44963</v>
      </c>
      <c r="B288" s="69">
        <f>RETORNOS_HIST!C288</f>
        <v/>
      </c>
      <c r="C288" s="42">
        <f>B288^2</f>
        <v/>
      </c>
      <c r="D288" s="42">
        <f>PARÂMETROS!B21*D287+(1-PARÂMETROS!B21)*C287</f>
        <v/>
      </c>
      <c r="E288" s="40">
        <f>SQRT(D288)</f>
        <v/>
      </c>
      <c r="F288" s="41">
        <f>E288*SQRT(PARÂMETROS!B10)</f>
        <v/>
      </c>
      <c r="G288" s="41">
        <f>VaR_PARAMÉTRICO!B12*E288</f>
        <v/>
      </c>
      <c r="H288" s="59">
        <f>G288*PARÂMETROS!B24</f>
        <v/>
      </c>
    </row>
    <row r="289" ht="16" customHeight="1">
      <c r="A289" s="35" t="n">
        <v>44964</v>
      </c>
      <c r="B289" s="68">
        <f>RETORNOS_HIST!C289</f>
        <v/>
      </c>
      <c r="C289" s="45">
        <f>B289^2</f>
        <v/>
      </c>
      <c r="D289" s="45">
        <f>PARÂMETROS!B21*D288+(1-PARÂMETROS!B21)*C288</f>
        <v/>
      </c>
      <c r="E289" s="43">
        <f>SQRT(D289)</f>
        <v/>
      </c>
      <c r="F289" s="44">
        <f>E289*SQRT(PARÂMETROS!B10)</f>
        <v/>
      </c>
      <c r="G289" s="44">
        <f>VaR_PARAMÉTRICO!B12*E289</f>
        <v/>
      </c>
      <c r="H289" s="57">
        <f>G289*PARÂMETROS!B24</f>
        <v/>
      </c>
    </row>
    <row r="290" ht="16" customHeight="1">
      <c r="A290" s="38" t="n">
        <v>44965</v>
      </c>
      <c r="B290" s="69">
        <f>RETORNOS_HIST!C290</f>
        <v/>
      </c>
      <c r="C290" s="42">
        <f>B290^2</f>
        <v/>
      </c>
      <c r="D290" s="42">
        <f>PARÂMETROS!B21*D289+(1-PARÂMETROS!B21)*C289</f>
        <v/>
      </c>
      <c r="E290" s="40">
        <f>SQRT(D290)</f>
        <v/>
      </c>
      <c r="F290" s="41">
        <f>E290*SQRT(PARÂMETROS!B10)</f>
        <v/>
      </c>
      <c r="G290" s="41">
        <f>VaR_PARAMÉTRICO!B12*E290</f>
        <v/>
      </c>
      <c r="H290" s="59">
        <f>G290*PARÂMETROS!B24</f>
        <v/>
      </c>
    </row>
    <row r="291" ht="16" customHeight="1">
      <c r="A291" s="35" t="n">
        <v>44966</v>
      </c>
      <c r="B291" s="68">
        <f>RETORNOS_HIST!C291</f>
        <v/>
      </c>
      <c r="C291" s="45">
        <f>B291^2</f>
        <v/>
      </c>
      <c r="D291" s="45">
        <f>PARÂMETROS!B21*D290+(1-PARÂMETROS!B21)*C290</f>
        <v/>
      </c>
      <c r="E291" s="43">
        <f>SQRT(D291)</f>
        <v/>
      </c>
      <c r="F291" s="44">
        <f>E291*SQRT(PARÂMETROS!B10)</f>
        <v/>
      </c>
      <c r="G291" s="44">
        <f>VaR_PARAMÉTRICO!B12*E291</f>
        <v/>
      </c>
      <c r="H291" s="57">
        <f>G291*PARÂMETROS!B24</f>
        <v/>
      </c>
    </row>
    <row r="292" ht="16" customHeight="1">
      <c r="A292" s="38" t="n">
        <v>44967</v>
      </c>
      <c r="B292" s="69">
        <f>RETORNOS_HIST!C292</f>
        <v/>
      </c>
      <c r="C292" s="42">
        <f>B292^2</f>
        <v/>
      </c>
      <c r="D292" s="42">
        <f>PARÂMETROS!B21*D291+(1-PARÂMETROS!B21)*C291</f>
        <v/>
      </c>
      <c r="E292" s="40">
        <f>SQRT(D292)</f>
        <v/>
      </c>
      <c r="F292" s="41">
        <f>E292*SQRT(PARÂMETROS!B10)</f>
        <v/>
      </c>
      <c r="G292" s="41">
        <f>VaR_PARAMÉTRICO!B12*E292</f>
        <v/>
      </c>
      <c r="H292" s="59">
        <f>G292*PARÂMETROS!B24</f>
        <v/>
      </c>
    </row>
    <row r="293" ht="16" customHeight="1">
      <c r="A293" s="35" t="n">
        <v>44970</v>
      </c>
      <c r="B293" s="68">
        <f>RETORNOS_HIST!C293</f>
        <v/>
      </c>
      <c r="C293" s="45">
        <f>B293^2</f>
        <v/>
      </c>
      <c r="D293" s="45">
        <f>PARÂMETROS!B21*D292+(1-PARÂMETROS!B21)*C292</f>
        <v/>
      </c>
      <c r="E293" s="43">
        <f>SQRT(D293)</f>
        <v/>
      </c>
      <c r="F293" s="44">
        <f>E293*SQRT(PARÂMETROS!B10)</f>
        <v/>
      </c>
      <c r="G293" s="44">
        <f>VaR_PARAMÉTRICO!B12*E293</f>
        <v/>
      </c>
      <c r="H293" s="57">
        <f>G293*PARÂMETROS!B24</f>
        <v/>
      </c>
    </row>
    <row r="294" ht="16" customHeight="1">
      <c r="A294" s="38" t="n">
        <v>44971</v>
      </c>
      <c r="B294" s="69">
        <f>RETORNOS_HIST!C294</f>
        <v/>
      </c>
      <c r="C294" s="42">
        <f>B294^2</f>
        <v/>
      </c>
      <c r="D294" s="42">
        <f>PARÂMETROS!B21*D293+(1-PARÂMETROS!B21)*C293</f>
        <v/>
      </c>
      <c r="E294" s="40">
        <f>SQRT(D294)</f>
        <v/>
      </c>
      <c r="F294" s="41">
        <f>E294*SQRT(PARÂMETROS!B10)</f>
        <v/>
      </c>
      <c r="G294" s="41">
        <f>VaR_PARAMÉTRICO!B12*E294</f>
        <v/>
      </c>
      <c r="H294" s="59">
        <f>G294*PARÂMETROS!B24</f>
        <v/>
      </c>
    </row>
    <row r="295" ht="16" customHeight="1">
      <c r="A295" s="35" t="n">
        <v>44972</v>
      </c>
      <c r="B295" s="68">
        <f>RETORNOS_HIST!C295</f>
        <v/>
      </c>
      <c r="C295" s="45">
        <f>B295^2</f>
        <v/>
      </c>
      <c r="D295" s="45">
        <f>PARÂMETROS!B21*D294+(1-PARÂMETROS!B21)*C294</f>
        <v/>
      </c>
      <c r="E295" s="43">
        <f>SQRT(D295)</f>
        <v/>
      </c>
      <c r="F295" s="44">
        <f>E295*SQRT(PARÂMETROS!B10)</f>
        <v/>
      </c>
      <c r="G295" s="44">
        <f>VaR_PARAMÉTRICO!B12*E295</f>
        <v/>
      </c>
      <c r="H295" s="57">
        <f>G295*PARÂMETROS!B24</f>
        <v/>
      </c>
    </row>
    <row r="296" ht="16" customHeight="1">
      <c r="A296" s="38" t="n">
        <v>44973</v>
      </c>
      <c r="B296" s="69">
        <f>RETORNOS_HIST!C296</f>
        <v/>
      </c>
      <c r="C296" s="42">
        <f>B296^2</f>
        <v/>
      </c>
      <c r="D296" s="42">
        <f>PARÂMETROS!B21*D295+(1-PARÂMETROS!B21)*C295</f>
        <v/>
      </c>
      <c r="E296" s="40">
        <f>SQRT(D296)</f>
        <v/>
      </c>
      <c r="F296" s="41">
        <f>E296*SQRT(PARÂMETROS!B10)</f>
        <v/>
      </c>
      <c r="G296" s="41">
        <f>VaR_PARAMÉTRICO!B12*E296</f>
        <v/>
      </c>
      <c r="H296" s="59">
        <f>G296*PARÂMETROS!B24</f>
        <v/>
      </c>
    </row>
    <row r="297" ht="16" customHeight="1">
      <c r="A297" s="35" t="n">
        <v>44974</v>
      </c>
      <c r="B297" s="68">
        <f>RETORNOS_HIST!C297</f>
        <v/>
      </c>
      <c r="C297" s="45">
        <f>B297^2</f>
        <v/>
      </c>
      <c r="D297" s="45">
        <f>PARÂMETROS!B21*D296+(1-PARÂMETROS!B21)*C296</f>
        <v/>
      </c>
      <c r="E297" s="43">
        <f>SQRT(D297)</f>
        <v/>
      </c>
      <c r="F297" s="44">
        <f>E297*SQRT(PARÂMETROS!B10)</f>
        <v/>
      </c>
      <c r="G297" s="44">
        <f>VaR_PARAMÉTRICO!B12*E297</f>
        <v/>
      </c>
      <c r="H297" s="57">
        <f>G297*PARÂMETROS!B24</f>
        <v/>
      </c>
    </row>
    <row r="298" ht="16" customHeight="1">
      <c r="A298" s="38" t="n">
        <v>44977</v>
      </c>
      <c r="B298" s="69">
        <f>RETORNOS_HIST!C298</f>
        <v/>
      </c>
      <c r="C298" s="42">
        <f>B298^2</f>
        <v/>
      </c>
      <c r="D298" s="42">
        <f>PARÂMETROS!B21*D297+(1-PARÂMETROS!B21)*C297</f>
        <v/>
      </c>
      <c r="E298" s="40">
        <f>SQRT(D298)</f>
        <v/>
      </c>
      <c r="F298" s="41">
        <f>E298*SQRT(PARÂMETROS!B10)</f>
        <v/>
      </c>
      <c r="G298" s="41">
        <f>VaR_PARAMÉTRICO!B12*E298</f>
        <v/>
      </c>
      <c r="H298" s="59">
        <f>G298*PARÂMETROS!B24</f>
        <v/>
      </c>
    </row>
    <row r="299" ht="16" customHeight="1">
      <c r="A299" s="35" t="n">
        <v>44978</v>
      </c>
      <c r="B299" s="68">
        <f>RETORNOS_HIST!C299</f>
        <v/>
      </c>
      <c r="C299" s="45">
        <f>B299^2</f>
        <v/>
      </c>
      <c r="D299" s="45">
        <f>PARÂMETROS!B21*D298+(1-PARÂMETROS!B21)*C298</f>
        <v/>
      </c>
      <c r="E299" s="43">
        <f>SQRT(D299)</f>
        <v/>
      </c>
      <c r="F299" s="44">
        <f>E299*SQRT(PARÂMETROS!B10)</f>
        <v/>
      </c>
      <c r="G299" s="44">
        <f>VaR_PARAMÉTRICO!B12*E299</f>
        <v/>
      </c>
      <c r="H299" s="57">
        <f>G299*PARÂMETROS!B24</f>
        <v/>
      </c>
    </row>
    <row r="300" ht="16" customHeight="1">
      <c r="A300" s="38" t="n">
        <v>44979</v>
      </c>
      <c r="B300" s="69">
        <f>RETORNOS_HIST!C300</f>
        <v/>
      </c>
      <c r="C300" s="42">
        <f>B300^2</f>
        <v/>
      </c>
      <c r="D300" s="42">
        <f>PARÂMETROS!B21*D299+(1-PARÂMETROS!B21)*C299</f>
        <v/>
      </c>
      <c r="E300" s="40">
        <f>SQRT(D300)</f>
        <v/>
      </c>
      <c r="F300" s="41">
        <f>E300*SQRT(PARÂMETROS!B10)</f>
        <v/>
      </c>
      <c r="G300" s="41">
        <f>VaR_PARAMÉTRICO!B12*E300</f>
        <v/>
      </c>
      <c r="H300" s="59">
        <f>G300*PARÂMETROS!B24</f>
        <v/>
      </c>
    </row>
    <row r="301" ht="16" customHeight="1">
      <c r="A301" s="35" t="n">
        <v>44980</v>
      </c>
      <c r="B301" s="68">
        <f>RETORNOS_HIST!C301</f>
        <v/>
      </c>
      <c r="C301" s="45">
        <f>B301^2</f>
        <v/>
      </c>
      <c r="D301" s="45">
        <f>PARÂMETROS!B21*D300+(1-PARÂMETROS!B21)*C300</f>
        <v/>
      </c>
      <c r="E301" s="43">
        <f>SQRT(D301)</f>
        <v/>
      </c>
      <c r="F301" s="44">
        <f>E301*SQRT(PARÂMETROS!B10)</f>
        <v/>
      </c>
      <c r="G301" s="44">
        <f>VaR_PARAMÉTRICO!B12*E301</f>
        <v/>
      </c>
      <c r="H301" s="57">
        <f>G301*PARÂMETROS!B24</f>
        <v/>
      </c>
    </row>
    <row r="302" ht="16" customHeight="1">
      <c r="A302" s="38" t="n">
        <v>44981</v>
      </c>
      <c r="B302" s="69">
        <f>RETORNOS_HIST!C302</f>
        <v/>
      </c>
      <c r="C302" s="42">
        <f>B302^2</f>
        <v/>
      </c>
      <c r="D302" s="42">
        <f>PARÂMETROS!B21*D301+(1-PARÂMETROS!B21)*C301</f>
        <v/>
      </c>
      <c r="E302" s="40">
        <f>SQRT(D302)</f>
        <v/>
      </c>
      <c r="F302" s="41">
        <f>E302*SQRT(PARÂMETROS!B10)</f>
        <v/>
      </c>
      <c r="G302" s="41">
        <f>VaR_PARAMÉTRICO!B12*E302</f>
        <v/>
      </c>
      <c r="H302" s="59">
        <f>G302*PARÂMETROS!B24</f>
        <v/>
      </c>
    </row>
    <row r="303" ht="16" customHeight="1">
      <c r="A303" s="35" t="n">
        <v>44984</v>
      </c>
      <c r="B303" s="68">
        <f>RETORNOS_HIST!C303</f>
        <v/>
      </c>
      <c r="C303" s="45">
        <f>B303^2</f>
        <v/>
      </c>
      <c r="D303" s="45">
        <f>PARÂMETROS!B21*D302+(1-PARÂMETROS!B21)*C302</f>
        <v/>
      </c>
      <c r="E303" s="43">
        <f>SQRT(D303)</f>
        <v/>
      </c>
      <c r="F303" s="44">
        <f>E303*SQRT(PARÂMETROS!B10)</f>
        <v/>
      </c>
      <c r="G303" s="44">
        <f>VaR_PARAMÉTRICO!B12*E303</f>
        <v/>
      </c>
      <c r="H303" s="57">
        <f>G303*PARÂMETROS!B24</f>
        <v/>
      </c>
    </row>
    <row r="304" ht="16" customHeight="1">
      <c r="A304" s="38" t="n">
        <v>44985</v>
      </c>
      <c r="B304" s="69">
        <f>RETORNOS_HIST!C304</f>
        <v/>
      </c>
      <c r="C304" s="42">
        <f>B304^2</f>
        <v/>
      </c>
      <c r="D304" s="42">
        <f>PARÂMETROS!B21*D303+(1-PARÂMETROS!B21)*C303</f>
        <v/>
      </c>
      <c r="E304" s="40">
        <f>SQRT(D304)</f>
        <v/>
      </c>
      <c r="F304" s="41">
        <f>E304*SQRT(PARÂMETROS!B10)</f>
        <v/>
      </c>
      <c r="G304" s="41">
        <f>VaR_PARAMÉTRICO!B12*E304</f>
        <v/>
      </c>
      <c r="H304" s="59">
        <f>G304*PARÂMETROS!B24</f>
        <v/>
      </c>
    </row>
    <row r="305" ht="16" customHeight="1">
      <c r="A305" s="35" t="n">
        <v>44986</v>
      </c>
      <c r="B305" s="68">
        <f>RETORNOS_HIST!C305</f>
        <v/>
      </c>
      <c r="C305" s="45">
        <f>B305^2</f>
        <v/>
      </c>
      <c r="D305" s="45">
        <f>PARÂMETROS!B21*D304+(1-PARÂMETROS!B21)*C304</f>
        <v/>
      </c>
      <c r="E305" s="43">
        <f>SQRT(D305)</f>
        <v/>
      </c>
      <c r="F305" s="44">
        <f>E305*SQRT(PARÂMETROS!B10)</f>
        <v/>
      </c>
      <c r="G305" s="44">
        <f>VaR_PARAMÉTRICO!B12*E305</f>
        <v/>
      </c>
      <c r="H305" s="57">
        <f>G305*PARÂMETROS!B24</f>
        <v/>
      </c>
    </row>
    <row r="306" ht="16" customHeight="1">
      <c r="A306" s="38" t="n">
        <v>44987</v>
      </c>
      <c r="B306" s="69">
        <f>RETORNOS_HIST!C306</f>
        <v/>
      </c>
      <c r="C306" s="42">
        <f>B306^2</f>
        <v/>
      </c>
      <c r="D306" s="42">
        <f>PARÂMETROS!B21*D305+(1-PARÂMETROS!B21)*C305</f>
        <v/>
      </c>
      <c r="E306" s="40">
        <f>SQRT(D306)</f>
        <v/>
      </c>
      <c r="F306" s="41">
        <f>E306*SQRT(PARÂMETROS!B10)</f>
        <v/>
      </c>
      <c r="G306" s="41">
        <f>VaR_PARAMÉTRICO!B12*E306</f>
        <v/>
      </c>
      <c r="H306" s="59">
        <f>G306*PARÂMETROS!B24</f>
        <v/>
      </c>
    </row>
    <row r="307" ht="16" customHeight="1">
      <c r="A307" s="35" t="n">
        <v>44988</v>
      </c>
      <c r="B307" s="68">
        <f>RETORNOS_HIST!C307</f>
        <v/>
      </c>
      <c r="C307" s="45">
        <f>B307^2</f>
        <v/>
      </c>
      <c r="D307" s="45">
        <f>PARÂMETROS!B21*D306+(1-PARÂMETROS!B21)*C306</f>
        <v/>
      </c>
      <c r="E307" s="43">
        <f>SQRT(D307)</f>
        <v/>
      </c>
      <c r="F307" s="44">
        <f>E307*SQRT(PARÂMETROS!B10)</f>
        <v/>
      </c>
      <c r="G307" s="44">
        <f>VaR_PARAMÉTRICO!B12*E307</f>
        <v/>
      </c>
      <c r="H307" s="57">
        <f>G307*PARÂMETROS!B24</f>
        <v/>
      </c>
    </row>
    <row r="308" ht="16" customHeight="1">
      <c r="A308" s="38" t="n">
        <v>44991</v>
      </c>
      <c r="B308" s="69">
        <f>RETORNOS_HIST!C308</f>
        <v/>
      </c>
      <c r="C308" s="42">
        <f>B308^2</f>
        <v/>
      </c>
      <c r="D308" s="42">
        <f>PARÂMETROS!B21*D307+(1-PARÂMETROS!B21)*C307</f>
        <v/>
      </c>
      <c r="E308" s="40">
        <f>SQRT(D308)</f>
        <v/>
      </c>
      <c r="F308" s="41">
        <f>E308*SQRT(PARÂMETROS!B10)</f>
        <v/>
      </c>
      <c r="G308" s="41">
        <f>VaR_PARAMÉTRICO!B12*E308</f>
        <v/>
      </c>
      <c r="H308" s="59">
        <f>G308*PARÂMETROS!B24</f>
        <v/>
      </c>
    </row>
    <row r="309" ht="16" customHeight="1">
      <c r="A309" s="35" t="n">
        <v>44992</v>
      </c>
      <c r="B309" s="68">
        <f>RETORNOS_HIST!C309</f>
        <v/>
      </c>
      <c r="C309" s="45">
        <f>B309^2</f>
        <v/>
      </c>
      <c r="D309" s="45">
        <f>PARÂMETROS!B21*D308+(1-PARÂMETROS!B21)*C308</f>
        <v/>
      </c>
      <c r="E309" s="43">
        <f>SQRT(D309)</f>
        <v/>
      </c>
      <c r="F309" s="44">
        <f>E309*SQRT(PARÂMETROS!B10)</f>
        <v/>
      </c>
      <c r="G309" s="44">
        <f>VaR_PARAMÉTRICO!B12*E309</f>
        <v/>
      </c>
      <c r="H309" s="57">
        <f>G309*PARÂMETROS!B24</f>
        <v/>
      </c>
    </row>
    <row r="310" ht="16" customHeight="1">
      <c r="A310" s="38" t="n">
        <v>44993</v>
      </c>
      <c r="B310" s="69">
        <f>RETORNOS_HIST!C310</f>
        <v/>
      </c>
      <c r="C310" s="42">
        <f>B310^2</f>
        <v/>
      </c>
      <c r="D310" s="42">
        <f>PARÂMETROS!B21*D309+(1-PARÂMETROS!B21)*C309</f>
        <v/>
      </c>
      <c r="E310" s="40">
        <f>SQRT(D310)</f>
        <v/>
      </c>
      <c r="F310" s="41">
        <f>E310*SQRT(PARÂMETROS!B10)</f>
        <v/>
      </c>
      <c r="G310" s="41">
        <f>VaR_PARAMÉTRICO!B12*E310</f>
        <v/>
      </c>
      <c r="H310" s="59">
        <f>G310*PARÂMETROS!B24</f>
        <v/>
      </c>
    </row>
    <row r="311" ht="16" customHeight="1">
      <c r="A311" s="35" t="n">
        <v>44994</v>
      </c>
      <c r="B311" s="68">
        <f>RETORNOS_HIST!C311</f>
        <v/>
      </c>
      <c r="C311" s="45">
        <f>B311^2</f>
        <v/>
      </c>
      <c r="D311" s="45">
        <f>PARÂMETROS!B21*D310+(1-PARÂMETROS!B21)*C310</f>
        <v/>
      </c>
      <c r="E311" s="43">
        <f>SQRT(D311)</f>
        <v/>
      </c>
      <c r="F311" s="44">
        <f>E311*SQRT(PARÂMETROS!B10)</f>
        <v/>
      </c>
      <c r="G311" s="44">
        <f>VaR_PARAMÉTRICO!B12*E311</f>
        <v/>
      </c>
      <c r="H311" s="57">
        <f>G311*PARÂMETROS!B24</f>
        <v/>
      </c>
    </row>
    <row r="312" ht="16" customHeight="1">
      <c r="A312" s="38" t="n">
        <v>44995</v>
      </c>
      <c r="B312" s="69">
        <f>RETORNOS_HIST!C312</f>
        <v/>
      </c>
      <c r="C312" s="42">
        <f>B312^2</f>
        <v/>
      </c>
      <c r="D312" s="42">
        <f>PARÂMETROS!B21*D311+(1-PARÂMETROS!B21)*C311</f>
        <v/>
      </c>
      <c r="E312" s="40">
        <f>SQRT(D312)</f>
        <v/>
      </c>
      <c r="F312" s="41">
        <f>E312*SQRT(PARÂMETROS!B10)</f>
        <v/>
      </c>
      <c r="G312" s="41">
        <f>VaR_PARAMÉTRICO!B12*E312</f>
        <v/>
      </c>
      <c r="H312" s="59">
        <f>G312*PARÂMETROS!B24</f>
        <v/>
      </c>
    </row>
    <row r="313" ht="16" customHeight="1">
      <c r="A313" s="35" t="n">
        <v>44998</v>
      </c>
      <c r="B313" s="68">
        <f>RETORNOS_HIST!C313</f>
        <v/>
      </c>
      <c r="C313" s="45">
        <f>B313^2</f>
        <v/>
      </c>
      <c r="D313" s="45">
        <f>PARÂMETROS!B21*D312+(1-PARÂMETROS!B21)*C312</f>
        <v/>
      </c>
      <c r="E313" s="43">
        <f>SQRT(D313)</f>
        <v/>
      </c>
      <c r="F313" s="44">
        <f>E313*SQRT(PARÂMETROS!B10)</f>
        <v/>
      </c>
      <c r="G313" s="44">
        <f>VaR_PARAMÉTRICO!B12*E313</f>
        <v/>
      </c>
      <c r="H313" s="57">
        <f>G313*PARÂMETROS!B24</f>
        <v/>
      </c>
    </row>
    <row r="314" ht="16" customHeight="1">
      <c r="A314" s="38" t="n">
        <v>44999</v>
      </c>
      <c r="B314" s="69">
        <f>RETORNOS_HIST!C314</f>
        <v/>
      </c>
      <c r="C314" s="42">
        <f>B314^2</f>
        <v/>
      </c>
      <c r="D314" s="42">
        <f>PARÂMETROS!B21*D313+(1-PARÂMETROS!B21)*C313</f>
        <v/>
      </c>
      <c r="E314" s="40">
        <f>SQRT(D314)</f>
        <v/>
      </c>
      <c r="F314" s="41">
        <f>E314*SQRT(PARÂMETROS!B10)</f>
        <v/>
      </c>
      <c r="G314" s="41">
        <f>VaR_PARAMÉTRICO!B12*E314</f>
        <v/>
      </c>
      <c r="H314" s="59">
        <f>G314*PARÂMETROS!B24</f>
        <v/>
      </c>
    </row>
    <row r="315" ht="16" customHeight="1">
      <c r="A315" s="35" t="n">
        <v>45000</v>
      </c>
      <c r="B315" s="68">
        <f>RETORNOS_HIST!C315</f>
        <v/>
      </c>
      <c r="C315" s="45">
        <f>B315^2</f>
        <v/>
      </c>
      <c r="D315" s="45">
        <f>PARÂMETROS!B21*D314+(1-PARÂMETROS!B21)*C314</f>
        <v/>
      </c>
      <c r="E315" s="43">
        <f>SQRT(D315)</f>
        <v/>
      </c>
      <c r="F315" s="44">
        <f>E315*SQRT(PARÂMETROS!B10)</f>
        <v/>
      </c>
      <c r="G315" s="44">
        <f>VaR_PARAMÉTRICO!B12*E315</f>
        <v/>
      </c>
      <c r="H315" s="57">
        <f>G315*PARÂMETROS!B24</f>
        <v/>
      </c>
    </row>
    <row r="316" ht="16" customHeight="1">
      <c r="A316" s="38" t="n">
        <v>45001</v>
      </c>
      <c r="B316" s="69">
        <f>RETORNOS_HIST!C316</f>
        <v/>
      </c>
      <c r="C316" s="42">
        <f>B316^2</f>
        <v/>
      </c>
      <c r="D316" s="42">
        <f>PARÂMETROS!B21*D315+(1-PARÂMETROS!B21)*C315</f>
        <v/>
      </c>
      <c r="E316" s="40">
        <f>SQRT(D316)</f>
        <v/>
      </c>
      <c r="F316" s="41">
        <f>E316*SQRT(PARÂMETROS!B10)</f>
        <v/>
      </c>
      <c r="G316" s="41">
        <f>VaR_PARAMÉTRICO!B12*E316</f>
        <v/>
      </c>
      <c r="H316" s="59">
        <f>G316*PARÂMETROS!B24</f>
        <v/>
      </c>
    </row>
    <row r="317" ht="16" customHeight="1">
      <c r="A317" s="35" t="n">
        <v>45002</v>
      </c>
      <c r="B317" s="68">
        <f>RETORNOS_HIST!C317</f>
        <v/>
      </c>
      <c r="C317" s="45">
        <f>B317^2</f>
        <v/>
      </c>
      <c r="D317" s="45">
        <f>PARÂMETROS!B21*D316+(1-PARÂMETROS!B21)*C316</f>
        <v/>
      </c>
      <c r="E317" s="43">
        <f>SQRT(D317)</f>
        <v/>
      </c>
      <c r="F317" s="44">
        <f>E317*SQRT(PARÂMETROS!B10)</f>
        <v/>
      </c>
      <c r="G317" s="44">
        <f>VaR_PARAMÉTRICO!B12*E317</f>
        <v/>
      </c>
      <c r="H317" s="57">
        <f>G317*PARÂMETROS!B24</f>
        <v/>
      </c>
    </row>
    <row r="318" ht="16" customHeight="1">
      <c r="A318" s="38" t="n">
        <v>45005</v>
      </c>
      <c r="B318" s="69">
        <f>RETORNOS_HIST!C318</f>
        <v/>
      </c>
      <c r="C318" s="42">
        <f>B318^2</f>
        <v/>
      </c>
      <c r="D318" s="42">
        <f>PARÂMETROS!B21*D317+(1-PARÂMETROS!B21)*C317</f>
        <v/>
      </c>
      <c r="E318" s="40">
        <f>SQRT(D318)</f>
        <v/>
      </c>
      <c r="F318" s="41">
        <f>E318*SQRT(PARÂMETROS!B10)</f>
        <v/>
      </c>
      <c r="G318" s="41">
        <f>VaR_PARAMÉTRICO!B12*E318</f>
        <v/>
      </c>
      <c r="H318" s="59">
        <f>G318*PARÂMETROS!B24</f>
        <v/>
      </c>
    </row>
    <row r="319" ht="16" customHeight="1">
      <c r="A319" s="35" t="n">
        <v>45006</v>
      </c>
      <c r="B319" s="68">
        <f>RETORNOS_HIST!C319</f>
        <v/>
      </c>
      <c r="C319" s="45">
        <f>B319^2</f>
        <v/>
      </c>
      <c r="D319" s="45">
        <f>PARÂMETROS!B21*D318+(1-PARÂMETROS!B21)*C318</f>
        <v/>
      </c>
      <c r="E319" s="43">
        <f>SQRT(D319)</f>
        <v/>
      </c>
      <c r="F319" s="44">
        <f>E319*SQRT(PARÂMETROS!B10)</f>
        <v/>
      </c>
      <c r="G319" s="44">
        <f>VaR_PARAMÉTRICO!B12*E319</f>
        <v/>
      </c>
      <c r="H319" s="57">
        <f>G319*PARÂMETROS!B24</f>
        <v/>
      </c>
    </row>
    <row r="320" ht="16" customHeight="1">
      <c r="A320" s="38" t="n">
        <v>45007</v>
      </c>
      <c r="B320" s="69">
        <f>RETORNOS_HIST!C320</f>
        <v/>
      </c>
      <c r="C320" s="42">
        <f>B320^2</f>
        <v/>
      </c>
      <c r="D320" s="42">
        <f>PARÂMETROS!B21*D319+(1-PARÂMETROS!B21)*C319</f>
        <v/>
      </c>
      <c r="E320" s="40">
        <f>SQRT(D320)</f>
        <v/>
      </c>
      <c r="F320" s="41">
        <f>E320*SQRT(PARÂMETROS!B10)</f>
        <v/>
      </c>
      <c r="G320" s="41">
        <f>VaR_PARAMÉTRICO!B12*E320</f>
        <v/>
      </c>
      <c r="H320" s="59">
        <f>G320*PARÂMETROS!B24</f>
        <v/>
      </c>
    </row>
    <row r="321" ht="16" customHeight="1">
      <c r="A321" s="35" t="n">
        <v>45008</v>
      </c>
      <c r="B321" s="68">
        <f>RETORNOS_HIST!C321</f>
        <v/>
      </c>
      <c r="C321" s="45">
        <f>B321^2</f>
        <v/>
      </c>
      <c r="D321" s="45">
        <f>PARÂMETROS!B21*D320+(1-PARÂMETROS!B21)*C320</f>
        <v/>
      </c>
      <c r="E321" s="43">
        <f>SQRT(D321)</f>
        <v/>
      </c>
      <c r="F321" s="44">
        <f>E321*SQRT(PARÂMETROS!B10)</f>
        <v/>
      </c>
      <c r="G321" s="44">
        <f>VaR_PARAMÉTRICO!B12*E321</f>
        <v/>
      </c>
      <c r="H321" s="57">
        <f>G321*PARÂMETROS!B24</f>
        <v/>
      </c>
    </row>
    <row r="322" ht="16" customHeight="1">
      <c r="A322" s="38" t="n">
        <v>45009</v>
      </c>
      <c r="B322" s="69">
        <f>RETORNOS_HIST!C322</f>
        <v/>
      </c>
      <c r="C322" s="42">
        <f>B322^2</f>
        <v/>
      </c>
      <c r="D322" s="42">
        <f>PARÂMETROS!B21*D321+(1-PARÂMETROS!B21)*C321</f>
        <v/>
      </c>
      <c r="E322" s="40">
        <f>SQRT(D322)</f>
        <v/>
      </c>
      <c r="F322" s="41">
        <f>E322*SQRT(PARÂMETROS!B10)</f>
        <v/>
      </c>
      <c r="G322" s="41">
        <f>VaR_PARAMÉTRICO!B12*E322</f>
        <v/>
      </c>
      <c r="H322" s="59">
        <f>G322*PARÂMETROS!B24</f>
        <v/>
      </c>
    </row>
    <row r="323" ht="16" customHeight="1">
      <c r="A323" s="35" t="n">
        <v>45012</v>
      </c>
      <c r="B323" s="68">
        <f>RETORNOS_HIST!C323</f>
        <v/>
      </c>
      <c r="C323" s="45">
        <f>B323^2</f>
        <v/>
      </c>
      <c r="D323" s="45">
        <f>PARÂMETROS!B21*D322+(1-PARÂMETROS!B21)*C322</f>
        <v/>
      </c>
      <c r="E323" s="43">
        <f>SQRT(D323)</f>
        <v/>
      </c>
      <c r="F323" s="44">
        <f>E323*SQRT(PARÂMETROS!B10)</f>
        <v/>
      </c>
      <c r="G323" s="44">
        <f>VaR_PARAMÉTRICO!B12*E323</f>
        <v/>
      </c>
      <c r="H323" s="57">
        <f>G323*PARÂMETROS!B24</f>
        <v/>
      </c>
    </row>
    <row r="324" ht="16" customHeight="1">
      <c r="A324" s="38" t="n">
        <v>45013</v>
      </c>
      <c r="B324" s="69">
        <f>RETORNOS_HIST!C324</f>
        <v/>
      </c>
      <c r="C324" s="42">
        <f>B324^2</f>
        <v/>
      </c>
      <c r="D324" s="42">
        <f>PARÂMETROS!B21*D323+(1-PARÂMETROS!B21)*C323</f>
        <v/>
      </c>
      <c r="E324" s="40">
        <f>SQRT(D324)</f>
        <v/>
      </c>
      <c r="F324" s="41">
        <f>E324*SQRT(PARÂMETROS!B10)</f>
        <v/>
      </c>
      <c r="G324" s="41">
        <f>VaR_PARAMÉTRICO!B12*E324</f>
        <v/>
      </c>
      <c r="H324" s="59">
        <f>G324*PARÂMETROS!B24</f>
        <v/>
      </c>
    </row>
    <row r="325" ht="16" customHeight="1">
      <c r="A325" s="35" t="n">
        <v>45014</v>
      </c>
      <c r="B325" s="68">
        <f>RETORNOS_HIST!C325</f>
        <v/>
      </c>
      <c r="C325" s="45">
        <f>B325^2</f>
        <v/>
      </c>
      <c r="D325" s="45">
        <f>PARÂMETROS!B21*D324+(1-PARÂMETROS!B21)*C324</f>
        <v/>
      </c>
      <c r="E325" s="43">
        <f>SQRT(D325)</f>
        <v/>
      </c>
      <c r="F325" s="44">
        <f>E325*SQRT(PARÂMETROS!B10)</f>
        <v/>
      </c>
      <c r="G325" s="44">
        <f>VaR_PARAMÉTRICO!B12*E325</f>
        <v/>
      </c>
      <c r="H325" s="57">
        <f>G325*PARÂMETROS!B24</f>
        <v/>
      </c>
    </row>
    <row r="326" ht="16" customHeight="1">
      <c r="A326" s="38" t="n">
        <v>45015</v>
      </c>
      <c r="B326" s="69">
        <f>RETORNOS_HIST!C326</f>
        <v/>
      </c>
      <c r="C326" s="42">
        <f>B326^2</f>
        <v/>
      </c>
      <c r="D326" s="42">
        <f>PARÂMETROS!B21*D325+(1-PARÂMETROS!B21)*C325</f>
        <v/>
      </c>
      <c r="E326" s="40">
        <f>SQRT(D326)</f>
        <v/>
      </c>
      <c r="F326" s="41">
        <f>E326*SQRT(PARÂMETROS!B10)</f>
        <v/>
      </c>
      <c r="G326" s="41">
        <f>VaR_PARAMÉTRICO!B12*E326</f>
        <v/>
      </c>
      <c r="H326" s="59">
        <f>G326*PARÂMETROS!B24</f>
        <v/>
      </c>
    </row>
    <row r="327" ht="16" customHeight="1">
      <c r="A327" s="35" t="n">
        <v>45016</v>
      </c>
      <c r="B327" s="68">
        <f>RETORNOS_HIST!C327</f>
        <v/>
      </c>
      <c r="C327" s="45">
        <f>B327^2</f>
        <v/>
      </c>
      <c r="D327" s="45">
        <f>PARÂMETROS!B21*D326+(1-PARÂMETROS!B21)*C326</f>
        <v/>
      </c>
      <c r="E327" s="43">
        <f>SQRT(D327)</f>
        <v/>
      </c>
      <c r="F327" s="44">
        <f>E327*SQRT(PARÂMETROS!B10)</f>
        <v/>
      </c>
      <c r="G327" s="44">
        <f>VaR_PARAMÉTRICO!B12*E327</f>
        <v/>
      </c>
      <c r="H327" s="57">
        <f>G327*PARÂMETROS!B24</f>
        <v/>
      </c>
    </row>
    <row r="328" ht="16" customHeight="1">
      <c r="A328" s="38" t="n">
        <v>45019</v>
      </c>
      <c r="B328" s="69">
        <f>RETORNOS_HIST!C328</f>
        <v/>
      </c>
      <c r="C328" s="42">
        <f>B328^2</f>
        <v/>
      </c>
      <c r="D328" s="42">
        <f>PARÂMETROS!B21*D327+(1-PARÂMETROS!B21)*C327</f>
        <v/>
      </c>
      <c r="E328" s="40">
        <f>SQRT(D328)</f>
        <v/>
      </c>
      <c r="F328" s="41">
        <f>E328*SQRT(PARÂMETROS!B10)</f>
        <v/>
      </c>
      <c r="G328" s="41">
        <f>VaR_PARAMÉTRICO!B12*E328</f>
        <v/>
      </c>
      <c r="H328" s="59">
        <f>G328*PARÂMETROS!B24</f>
        <v/>
      </c>
    </row>
    <row r="329" ht="16" customHeight="1">
      <c r="A329" s="35" t="n">
        <v>45020</v>
      </c>
      <c r="B329" s="68">
        <f>RETORNOS_HIST!C329</f>
        <v/>
      </c>
      <c r="C329" s="45">
        <f>B329^2</f>
        <v/>
      </c>
      <c r="D329" s="45">
        <f>PARÂMETROS!B21*D328+(1-PARÂMETROS!B21)*C328</f>
        <v/>
      </c>
      <c r="E329" s="43">
        <f>SQRT(D329)</f>
        <v/>
      </c>
      <c r="F329" s="44">
        <f>E329*SQRT(PARÂMETROS!B10)</f>
        <v/>
      </c>
      <c r="G329" s="44">
        <f>VaR_PARAMÉTRICO!B12*E329</f>
        <v/>
      </c>
      <c r="H329" s="57">
        <f>G329*PARÂMETROS!B24</f>
        <v/>
      </c>
    </row>
    <row r="330" ht="16" customHeight="1">
      <c r="A330" s="38" t="n">
        <v>45021</v>
      </c>
      <c r="B330" s="69">
        <f>RETORNOS_HIST!C330</f>
        <v/>
      </c>
      <c r="C330" s="42">
        <f>B330^2</f>
        <v/>
      </c>
      <c r="D330" s="42">
        <f>PARÂMETROS!B21*D329+(1-PARÂMETROS!B21)*C329</f>
        <v/>
      </c>
      <c r="E330" s="40">
        <f>SQRT(D330)</f>
        <v/>
      </c>
      <c r="F330" s="41">
        <f>E330*SQRT(PARÂMETROS!B10)</f>
        <v/>
      </c>
      <c r="G330" s="41">
        <f>VaR_PARAMÉTRICO!B12*E330</f>
        <v/>
      </c>
      <c r="H330" s="59">
        <f>G330*PARÂMETROS!B24</f>
        <v/>
      </c>
    </row>
    <row r="331" ht="16" customHeight="1">
      <c r="A331" s="35" t="n">
        <v>45022</v>
      </c>
      <c r="B331" s="68">
        <f>RETORNOS_HIST!C331</f>
        <v/>
      </c>
      <c r="C331" s="45">
        <f>B331^2</f>
        <v/>
      </c>
      <c r="D331" s="45">
        <f>PARÂMETROS!B21*D330+(1-PARÂMETROS!B21)*C330</f>
        <v/>
      </c>
      <c r="E331" s="43">
        <f>SQRT(D331)</f>
        <v/>
      </c>
      <c r="F331" s="44">
        <f>E331*SQRT(PARÂMETROS!B10)</f>
        <v/>
      </c>
      <c r="G331" s="44">
        <f>VaR_PARAMÉTRICO!B12*E331</f>
        <v/>
      </c>
      <c r="H331" s="57">
        <f>G331*PARÂMETROS!B24</f>
        <v/>
      </c>
    </row>
    <row r="332" ht="16" customHeight="1">
      <c r="A332" s="38" t="n">
        <v>45023</v>
      </c>
      <c r="B332" s="69">
        <f>RETORNOS_HIST!C332</f>
        <v/>
      </c>
      <c r="C332" s="42">
        <f>B332^2</f>
        <v/>
      </c>
      <c r="D332" s="42">
        <f>PARÂMETROS!B21*D331+(1-PARÂMETROS!B21)*C331</f>
        <v/>
      </c>
      <c r="E332" s="40">
        <f>SQRT(D332)</f>
        <v/>
      </c>
      <c r="F332" s="41">
        <f>E332*SQRT(PARÂMETROS!B10)</f>
        <v/>
      </c>
      <c r="G332" s="41">
        <f>VaR_PARAMÉTRICO!B12*E332</f>
        <v/>
      </c>
      <c r="H332" s="59">
        <f>G332*PARÂMETROS!B24</f>
        <v/>
      </c>
    </row>
    <row r="333" ht="16" customHeight="1">
      <c r="A333" s="35" t="n">
        <v>45026</v>
      </c>
      <c r="B333" s="68">
        <f>RETORNOS_HIST!C333</f>
        <v/>
      </c>
      <c r="C333" s="45">
        <f>B333^2</f>
        <v/>
      </c>
      <c r="D333" s="45">
        <f>PARÂMETROS!B21*D332+(1-PARÂMETROS!B21)*C332</f>
        <v/>
      </c>
      <c r="E333" s="43">
        <f>SQRT(D333)</f>
        <v/>
      </c>
      <c r="F333" s="44">
        <f>E333*SQRT(PARÂMETROS!B10)</f>
        <v/>
      </c>
      <c r="G333" s="44">
        <f>VaR_PARAMÉTRICO!B12*E333</f>
        <v/>
      </c>
      <c r="H333" s="57">
        <f>G333*PARÂMETROS!B24</f>
        <v/>
      </c>
    </row>
    <row r="334" ht="16" customHeight="1">
      <c r="A334" s="38" t="n">
        <v>45027</v>
      </c>
      <c r="B334" s="69">
        <f>RETORNOS_HIST!C334</f>
        <v/>
      </c>
      <c r="C334" s="42">
        <f>B334^2</f>
        <v/>
      </c>
      <c r="D334" s="42">
        <f>PARÂMETROS!B21*D333+(1-PARÂMETROS!B21)*C333</f>
        <v/>
      </c>
      <c r="E334" s="40">
        <f>SQRT(D334)</f>
        <v/>
      </c>
      <c r="F334" s="41">
        <f>E334*SQRT(PARÂMETROS!B10)</f>
        <v/>
      </c>
      <c r="G334" s="41">
        <f>VaR_PARAMÉTRICO!B12*E334</f>
        <v/>
      </c>
      <c r="H334" s="59">
        <f>G334*PARÂMETROS!B24</f>
        <v/>
      </c>
    </row>
    <row r="335" ht="16" customHeight="1">
      <c r="A335" s="35" t="n">
        <v>45028</v>
      </c>
      <c r="B335" s="68">
        <f>RETORNOS_HIST!C335</f>
        <v/>
      </c>
      <c r="C335" s="45">
        <f>B335^2</f>
        <v/>
      </c>
      <c r="D335" s="45">
        <f>PARÂMETROS!B21*D334+(1-PARÂMETROS!B21)*C334</f>
        <v/>
      </c>
      <c r="E335" s="43">
        <f>SQRT(D335)</f>
        <v/>
      </c>
      <c r="F335" s="44">
        <f>E335*SQRT(PARÂMETROS!B10)</f>
        <v/>
      </c>
      <c r="G335" s="44">
        <f>VaR_PARAMÉTRICO!B12*E335</f>
        <v/>
      </c>
      <c r="H335" s="57">
        <f>G335*PARÂMETROS!B24</f>
        <v/>
      </c>
    </row>
    <row r="336" ht="16" customHeight="1">
      <c r="A336" s="38" t="n">
        <v>45029</v>
      </c>
      <c r="B336" s="69">
        <f>RETORNOS_HIST!C336</f>
        <v/>
      </c>
      <c r="C336" s="42">
        <f>B336^2</f>
        <v/>
      </c>
      <c r="D336" s="42">
        <f>PARÂMETROS!B21*D335+(1-PARÂMETROS!B21)*C335</f>
        <v/>
      </c>
      <c r="E336" s="40">
        <f>SQRT(D336)</f>
        <v/>
      </c>
      <c r="F336" s="41">
        <f>E336*SQRT(PARÂMETROS!B10)</f>
        <v/>
      </c>
      <c r="G336" s="41">
        <f>VaR_PARAMÉTRICO!B12*E336</f>
        <v/>
      </c>
      <c r="H336" s="59">
        <f>G336*PARÂMETROS!B24</f>
        <v/>
      </c>
    </row>
    <row r="337" ht="16" customHeight="1">
      <c r="A337" s="35" t="n">
        <v>45030</v>
      </c>
      <c r="B337" s="68">
        <f>RETORNOS_HIST!C337</f>
        <v/>
      </c>
      <c r="C337" s="45">
        <f>B337^2</f>
        <v/>
      </c>
      <c r="D337" s="45">
        <f>PARÂMETROS!B21*D336+(1-PARÂMETROS!B21)*C336</f>
        <v/>
      </c>
      <c r="E337" s="43">
        <f>SQRT(D337)</f>
        <v/>
      </c>
      <c r="F337" s="44">
        <f>E337*SQRT(PARÂMETROS!B10)</f>
        <v/>
      </c>
      <c r="G337" s="44">
        <f>VaR_PARAMÉTRICO!B12*E337</f>
        <v/>
      </c>
      <c r="H337" s="57">
        <f>G337*PARÂMETROS!B24</f>
        <v/>
      </c>
    </row>
    <row r="338" ht="16" customHeight="1">
      <c r="A338" s="38" t="n">
        <v>45033</v>
      </c>
      <c r="B338" s="69">
        <f>RETORNOS_HIST!C338</f>
        <v/>
      </c>
      <c r="C338" s="42">
        <f>B338^2</f>
        <v/>
      </c>
      <c r="D338" s="42">
        <f>PARÂMETROS!B21*D337+(1-PARÂMETROS!B21)*C337</f>
        <v/>
      </c>
      <c r="E338" s="40">
        <f>SQRT(D338)</f>
        <v/>
      </c>
      <c r="F338" s="41">
        <f>E338*SQRT(PARÂMETROS!B10)</f>
        <v/>
      </c>
      <c r="G338" s="41">
        <f>VaR_PARAMÉTRICO!B12*E338</f>
        <v/>
      </c>
      <c r="H338" s="59">
        <f>G338*PARÂMETROS!B24</f>
        <v/>
      </c>
    </row>
    <row r="339" ht="16" customHeight="1">
      <c r="A339" s="35" t="n">
        <v>45034</v>
      </c>
      <c r="B339" s="68">
        <f>RETORNOS_HIST!C339</f>
        <v/>
      </c>
      <c r="C339" s="45">
        <f>B339^2</f>
        <v/>
      </c>
      <c r="D339" s="45">
        <f>PARÂMETROS!B21*D338+(1-PARÂMETROS!B21)*C338</f>
        <v/>
      </c>
      <c r="E339" s="43">
        <f>SQRT(D339)</f>
        <v/>
      </c>
      <c r="F339" s="44">
        <f>E339*SQRT(PARÂMETROS!B10)</f>
        <v/>
      </c>
      <c r="G339" s="44">
        <f>VaR_PARAMÉTRICO!B12*E339</f>
        <v/>
      </c>
      <c r="H339" s="57">
        <f>G339*PARÂMETROS!B24</f>
        <v/>
      </c>
    </row>
    <row r="340" ht="16" customHeight="1">
      <c r="A340" s="38" t="n">
        <v>45035</v>
      </c>
      <c r="B340" s="69">
        <f>RETORNOS_HIST!C340</f>
        <v/>
      </c>
      <c r="C340" s="42">
        <f>B340^2</f>
        <v/>
      </c>
      <c r="D340" s="42">
        <f>PARÂMETROS!B21*D339+(1-PARÂMETROS!B21)*C339</f>
        <v/>
      </c>
      <c r="E340" s="40">
        <f>SQRT(D340)</f>
        <v/>
      </c>
      <c r="F340" s="41">
        <f>E340*SQRT(PARÂMETROS!B10)</f>
        <v/>
      </c>
      <c r="G340" s="41">
        <f>VaR_PARAMÉTRICO!B12*E340</f>
        <v/>
      </c>
      <c r="H340" s="59">
        <f>G340*PARÂMETROS!B24</f>
        <v/>
      </c>
    </row>
    <row r="341" ht="16" customHeight="1">
      <c r="A341" s="35" t="n">
        <v>45036</v>
      </c>
      <c r="B341" s="68">
        <f>RETORNOS_HIST!C341</f>
        <v/>
      </c>
      <c r="C341" s="45">
        <f>B341^2</f>
        <v/>
      </c>
      <c r="D341" s="45">
        <f>PARÂMETROS!B21*D340+(1-PARÂMETROS!B21)*C340</f>
        <v/>
      </c>
      <c r="E341" s="43">
        <f>SQRT(D341)</f>
        <v/>
      </c>
      <c r="F341" s="44">
        <f>E341*SQRT(PARÂMETROS!B10)</f>
        <v/>
      </c>
      <c r="G341" s="44">
        <f>VaR_PARAMÉTRICO!B12*E341</f>
        <v/>
      </c>
      <c r="H341" s="57">
        <f>G341*PARÂMETROS!B24</f>
        <v/>
      </c>
    </row>
    <row r="342" ht="16" customHeight="1">
      <c r="A342" s="38" t="n">
        <v>45037</v>
      </c>
      <c r="B342" s="69">
        <f>RETORNOS_HIST!C342</f>
        <v/>
      </c>
      <c r="C342" s="42">
        <f>B342^2</f>
        <v/>
      </c>
      <c r="D342" s="42">
        <f>PARÂMETROS!B21*D341+(1-PARÂMETROS!B21)*C341</f>
        <v/>
      </c>
      <c r="E342" s="40">
        <f>SQRT(D342)</f>
        <v/>
      </c>
      <c r="F342" s="41">
        <f>E342*SQRT(PARÂMETROS!B10)</f>
        <v/>
      </c>
      <c r="G342" s="41">
        <f>VaR_PARAMÉTRICO!B12*E342</f>
        <v/>
      </c>
      <c r="H342" s="59">
        <f>G342*PARÂMETROS!B24</f>
        <v/>
      </c>
    </row>
    <row r="343" ht="16" customHeight="1">
      <c r="A343" s="35" t="n">
        <v>45040</v>
      </c>
      <c r="B343" s="68">
        <f>RETORNOS_HIST!C343</f>
        <v/>
      </c>
      <c r="C343" s="45">
        <f>B343^2</f>
        <v/>
      </c>
      <c r="D343" s="45">
        <f>PARÂMETROS!B21*D342+(1-PARÂMETROS!B21)*C342</f>
        <v/>
      </c>
      <c r="E343" s="43">
        <f>SQRT(D343)</f>
        <v/>
      </c>
      <c r="F343" s="44">
        <f>E343*SQRT(PARÂMETROS!B10)</f>
        <v/>
      </c>
      <c r="G343" s="44">
        <f>VaR_PARAMÉTRICO!B12*E343</f>
        <v/>
      </c>
      <c r="H343" s="57">
        <f>G343*PARÂMETROS!B24</f>
        <v/>
      </c>
    </row>
    <row r="344" ht="16" customHeight="1">
      <c r="A344" s="38" t="n">
        <v>45041</v>
      </c>
      <c r="B344" s="69">
        <f>RETORNOS_HIST!C344</f>
        <v/>
      </c>
      <c r="C344" s="42">
        <f>B344^2</f>
        <v/>
      </c>
      <c r="D344" s="42">
        <f>PARÂMETROS!B21*D343+(1-PARÂMETROS!B21)*C343</f>
        <v/>
      </c>
      <c r="E344" s="40">
        <f>SQRT(D344)</f>
        <v/>
      </c>
      <c r="F344" s="41">
        <f>E344*SQRT(PARÂMETROS!B10)</f>
        <v/>
      </c>
      <c r="G344" s="41">
        <f>VaR_PARAMÉTRICO!B12*E344</f>
        <v/>
      </c>
      <c r="H344" s="59">
        <f>G344*PARÂMETROS!B24</f>
        <v/>
      </c>
    </row>
    <row r="345" ht="16" customHeight="1">
      <c r="A345" s="35" t="n">
        <v>45042</v>
      </c>
      <c r="B345" s="68">
        <f>RETORNOS_HIST!C345</f>
        <v/>
      </c>
      <c r="C345" s="45">
        <f>B345^2</f>
        <v/>
      </c>
      <c r="D345" s="45">
        <f>PARÂMETROS!B21*D344+(1-PARÂMETROS!B21)*C344</f>
        <v/>
      </c>
      <c r="E345" s="43">
        <f>SQRT(D345)</f>
        <v/>
      </c>
      <c r="F345" s="44">
        <f>E345*SQRT(PARÂMETROS!B10)</f>
        <v/>
      </c>
      <c r="G345" s="44">
        <f>VaR_PARAMÉTRICO!B12*E345</f>
        <v/>
      </c>
      <c r="H345" s="57">
        <f>G345*PARÂMETROS!B24</f>
        <v/>
      </c>
    </row>
    <row r="346" ht="16" customHeight="1">
      <c r="A346" s="38" t="n">
        <v>45043</v>
      </c>
      <c r="B346" s="69">
        <f>RETORNOS_HIST!C346</f>
        <v/>
      </c>
      <c r="C346" s="42">
        <f>B346^2</f>
        <v/>
      </c>
      <c r="D346" s="42">
        <f>PARÂMETROS!B21*D345+(1-PARÂMETROS!B21)*C345</f>
        <v/>
      </c>
      <c r="E346" s="40">
        <f>SQRT(D346)</f>
        <v/>
      </c>
      <c r="F346" s="41">
        <f>E346*SQRT(PARÂMETROS!B10)</f>
        <v/>
      </c>
      <c r="G346" s="41">
        <f>VaR_PARAMÉTRICO!B12*E346</f>
        <v/>
      </c>
      <c r="H346" s="59">
        <f>G346*PARÂMETROS!B24</f>
        <v/>
      </c>
    </row>
    <row r="347" ht="16" customHeight="1">
      <c r="A347" s="35" t="n">
        <v>45044</v>
      </c>
      <c r="B347" s="68">
        <f>RETORNOS_HIST!C347</f>
        <v/>
      </c>
      <c r="C347" s="45">
        <f>B347^2</f>
        <v/>
      </c>
      <c r="D347" s="45">
        <f>PARÂMETROS!B21*D346+(1-PARÂMETROS!B21)*C346</f>
        <v/>
      </c>
      <c r="E347" s="43">
        <f>SQRT(D347)</f>
        <v/>
      </c>
      <c r="F347" s="44">
        <f>E347*SQRT(PARÂMETROS!B10)</f>
        <v/>
      </c>
      <c r="G347" s="44">
        <f>VaR_PARAMÉTRICO!B12*E347</f>
        <v/>
      </c>
      <c r="H347" s="57">
        <f>G347*PARÂMETROS!B24</f>
        <v/>
      </c>
    </row>
    <row r="348" ht="16" customHeight="1">
      <c r="A348" s="38" t="n">
        <v>45047</v>
      </c>
      <c r="B348" s="69">
        <f>RETORNOS_HIST!C348</f>
        <v/>
      </c>
      <c r="C348" s="42">
        <f>B348^2</f>
        <v/>
      </c>
      <c r="D348" s="42">
        <f>PARÂMETROS!B21*D347+(1-PARÂMETROS!B21)*C347</f>
        <v/>
      </c>
      <c r="E348" s="40">
        <f>SQRT(D348)</f>
        <v/>
      </c>
      <c r="F348" s="41">
        <f>E348*SQRT(PARÂMETROS!B10)</f>
        <v/>
      </c>
      <c r="G348" s="41">
        <f>VaR_PARAMÉTRICO!B12*E348</f>
        <v/>
      </c>
      <c r="H348" s="59">
        <f>G348*PARÂMETROS!B24</f>
        <v/>
      </c>
    </row>
    <row r="349" ht="16" customHeight="1">
      <c r="A349" s="35" t="n">
        <v>45048</v>
      </c>
      <c r="B349" s="68">
        <f>RETORNOS_HIST!C349</f>
        <v/>
      </c>
      <c r="C349" s="45">
        <f>B349^2</f>
        <v/>
      </c>
      <c r="D349" s="45">
        <f>PARÂMETROS!B21*D348+(1-PARÂMETROS!B21)*C348</f>
        <v/>
      </c>
      <c r="E349" s="43">
        <f>SQRT(D349)</f>
        <v/>
      </c>
      <c r="F349" s="44">
        <f>E349*SQRT(PARÂMETROS!B10)</f>
        <v/>
      </c>
      <c r="G349" s="44">
        <f>VaR_PARAMÉTRICO!B12*E349</f>
        <v/>
      </c>
      <c r="H349" s="57">
        <f>G349*PARÂMETROS!B24</f>
        <v/>
      </c>
    </row>
    <row r="350" ht="16" customHeight="1">
      <c r="A350" s="38" t="n">
        <v>45049</v>
      </c>
      <c r="B350" s="69">
        <f>RETORNOS_HIST!C350</f>
        <v/>
      </c>
      <c r="C350" s="42">
        <f>B350^2</f>
        <v/>
      </c>
      <c r="D350" s="42">
        <f>PARÂMETROS!B21*D349+(1-PARÂMETROS!B21)*C349</f>
        <v/>
      </c>
      <c r="E350" s="40">
        <f>SQRT(D350)</f>
        <v/>
      </c>
      <c r="F350" s="41">
        <f>E350*SQRT(PARÂMETROS!B10)</f>
        <v/>
      </c>
      <c r="G350" s="41">
        <f>VaR_PARAMÉTRICO!B12*E350</f>
        <v/>
      </c>
      <c r="H350" s="59">
        <f>G350*PARÂMETROS!B24</f>
        <v/>
      </c>
    </row>
    <row r="351" ht="16" customHeight="1">
      <c r="A351" s="35" t="n">
        <v>45050</v>
      </c>
      <c r="B351" s="68">
        <f>RETORNOS_HIST!C351</f>
        <v/>
      </c>
      <c r="C351" s="45">
        <f>B351^2</f>
        <v/>
      </c>
      <c r="D351" s="45">
        <f>PARÂMETROS!B21*D350+(1-PARÂMETROS!B21)*C350</f>
        <v/>
      </c>
      <c r="E351" s="43">
        <f>SQRT(D351)</f>
        <v/>
      </c>
      <c r="F351" s="44">
        <f>E351*SQRT(PARÂMETROS!B10)</f>
        <v/>
      </c>
      <c r="G351" s="44">
        <f>VaR_PARAMÉTRICO!B12*E351</f>
        <v/>
      </c>
      <c r="H351" s="57">
        <f>G351*PARÂMETROS!B24</f>
        <v/>
      </c>
    </row>
    <row r="352" ht="16" customHeight="1">
      <c r="A352" s="38" t="n">
        <v>45051</v>
      </c>
      <c r="B352" s="69">
        <f>RETORNOS_HIST!C352</f>
        <v/>
      </c>
      <c r="C352" s="42">
        <f>B352^2</f>
        <v/>
      </c>
      <c r="D352" s="42">
        <f>PARÂMETROS!B21*D351+(1-PARÂMETROS!B21)*C351</f>
        <v/>
      </c>
      <c r="E352" s="40">
        <f>SQRT(D352)</f>
        <v/>
      </c>
      <c r="F352" s="41">
        <f>E352*SQRT(PARÂMETROS!B10)</f>
        <v/>
      </c>
      <c r="G352" s="41">
        <f>VaR_PARAMÉTRICO!B12*E352</f>
        <v/>
      </c>
      <c r="H352" s="59">
        <f>G352*PARÂMETROS!B24</f>
        <v/>
      </c>
    </row>
    <row r="353" ht="16" customHeight="1">
      <c r="A353" s="35" t="n">
        <v>45054</v>
      </c>
      <c r="B353" s="68">
        <f>RETORNOS_HIST!C353</f>
        <v/>
      </c>
      <c r="C353" s="45">
        <f>B353^2</f>
        <v/>
      </c>
      <c r="D353" s="45">
        <f>PARÂMETROS!B21*D352+(1-PARÂMETROS!B21)*C352</f>
        <v/>
      </c>
      <c r="E353" s="43">
        <f>SQRT(D353)</f>
        <v/>
      </c>
      <c r="F353" s="44">
        <f>E353*SQRT(PARÂMETROS!B10)</f>
        <v/>
      </c>
      <c r="G353" s="44">
        <f>VaR_PARAMÉTRICO!B12*E353</f>
        <v/>
      </c>
      <c r="H353" s="57">
        <f>G353*PARÂMETROS!B24</f>
        <v/>
      </c>
    </row>
    <row r="354" ht="16" customHeight="1">
      <c r="A354" s="38" t="n">
        <v>45055</v>
      </c>
      <c r="B354" s="69">
        <f>RETORNOS_HIST!C354</f>
        <v/>
      </c>
      <c r="C354" s="42">
        <f>B354^2</f>
        <v/>
      </c>
      <c r="D354" s="42">
        <f>PARÂMETROS!B21*D353+(1-PARÂMETROS!B21)*C353</f>
        <v/>
      </c>
      <c r="E354" s="40">
        <f>SQRT(D354)</f>
        <v/>
      </c>
      <c r="F354" s="41">
        <f>E354*SQRT(PARÂMETROS!B10)</f>
        <v/>
      </c>
      <c r="G354" s="41">
        <f>VaR_PARAMÉTRICO!B12*E354</f>
        <v/>
      </c>
      <c r="H354" s="59">
        <f>G354*PARÂMETROS!B24</f>
        <v/>
      </c>
    </row>
    <row r="355" ht="16" customHeight="1">
      <c r="A355" s="35" t="n">
        <v>45056</v>
      </c>
      <c r="B355" s="68">
        <f>RETORNOS_HIST!C355</f>
        <v/>
      </c>
      <c r="C355" s="45">
        <f>B355^2</f>
        <v/>
      </c>
      <c r="D355" s="45">
        <f>PARÂMETROS!B21*D354+(1-PARÂMETROS!B21)*C354</f>
        <v/>
      </c>
      <c r="E355" s="43">
        <f>SQRT(D355)</f>
        <v/>
      </c>
      <c r="F355" s="44">
        <f>E355*SQRT(PARÂMETROS!B10)</f>
        <v/>
      </c>
      <c r="G355" s="44">
        <f>VaR_PARAMÉTRICO!B12*E355</f>
        <v/>
      </c>
      <c r="H355" s="57">
        <f>G355*PARÂMETROS!B24</f>
        <v/>
      </c>
    </row>
    <row r="356" ht="16" customHeight="1">
      <c r="A356" s="38" t="n">
        <v>45057</v>
      </c>
      <c r="B356" s="69">
        <f>RETORNOS_HIST!C356</f>
        <v/>
      </c>
      <c r="C356" s="42">
        <f>B356^2</f>
        <v/>
      </c>
      <c r="D356" s="42">
        <f>PARÂMETROS!B21*D355+(1-PARÂMETROS!B21)*C355</f>
        <v/>
      </c>
      <c r="E356" s="40">
        <f>SQRT(D356)</f>
        <v/>
      </c>
      <c r="F356" s="41">
        <f>E356*SQRT(PARÂMETROS!B10)</f>
        <v/>
      </c>
      <c r="G356" s="41">
        <f>VaR_PARAMÉTRICO!B12*E356</f>
        <v/>
      </c>
      <c r="H356" s="59">
        <f>G356*PARÂMETROS!B24</f>
        <v/>
      </c>
    </row>
    <row r="357" ht="16" customHeight="1">
      <c r="A357" s="35" t="n">
        <v>45058</v>
      </c>
      <c r="B357" s="68">
        <f>RETORNOS_HIST!C357</f>
        <v/>
      </c>
      <c r="C357" s="45">
        <f>B357^2</f>
        <v/>
      </c>
      <c r="D357" s="45">
        <f>PARÂMETROS!B21*D356+(1-PARÂMETROS!B21)*C356</f>
        <v/>
      </c>
      <c r="E357" s="43">
        <f>SQRT(D357)</f>
        <v/>
      </c>
      <c r="F357" s="44">
        <f>E357*SQRT(PARÂMETROS!B10)</f>
        <v/>
      </c>
      <c r="G357" s="44">
        <f>VaR_PARAMÉTRICO!B12*E357</f>
        <v/>
      </c>
      <c r="H357" s="57">
        <f>G357*PARÂMETROS!B24</f>
        <v/>
      </c>
    </row>
    <row r="358" ht="16" customHeight="1">
      <c r="A358" s="38" t="n">
        <v>45061</v>
      </c>
      <c r="B358" s="69">
        <f>RETORNOS_HIST!C358</f>
        <v/>
      </c>
      <c r="C358" s="42">
        <f>B358^2</f>
        <v/>
      </c>
      <c r="D358" s="42">
        <f>PARÂMETROS!B21*D357+(1-PARÂMETROS!B21)*C357</f>
        <v/>
      </c>
      <c r="E358" s="40">
        <f>SQRT(D358)</f>
        <v/>
      </c>
      <c r="F358" s="41">
        <f>E358*SQRT(PARÂMETROS!B10)</f>
        <v/>
      </c>
      <c r="G358" s="41">
        <f>VaR_PARAMÉTRICO!B12*E358</f>
        <v/>
      </c>
      <c r="H358" s="59">
        <f>G358*PARÂMETROS!B24</f>
        <v/>
      </c>
    </row>
    <row r="359" ht="16" customHeight="1">
      <c r="A359" s="35" t="n">
        <v>45062</v>
      </c>
      <c r="B359" s="68">
        <f>RETORNOS_HIST!C359</f>
        <v/>
      </c>
      <c r="C359" s="45">
        <f>B359^2</f>
        <v/>
      </c>
      <c r="D359" s="45">
        <f>PARÂMETROS!B21*D358+(1-PARÂMETROS!B21)*C358</f>
        <v/>
      </c>
      <c r="E359" s="43">
        <f>SQRT(D359)</f>
        <v/>
      </c>
      <c r="F359" s="44">
        <f>E359*SQRT(PARÂMETROS!B10)</f>
        <v/>
      </c>
      <c r="G359" s="44">
        <f>VaR_PARAMÉTRICO!B12*E359</f>
        <v/>
      </c>
      <c r="H359" s="57">
        <f>G359*PARÂMETROS!B24</f>
        <v/>
      </c>
    </row>
    <row r="360" ht="16" customHeight="1">
      <c r="A360" s="38" t="n">
        <v>45063</v>
      </c>
      <c r="B360" s="69">
        <f>RETORNOS_HIST!C360</f>
        <v/>
      </c>
      <c r="C360" s="42">
        <f>B360^2</f>
        <v/>
      </c>
      <c r="D360" s="42">
        <f>PARÂMETROS!B21*D359+(1-PARÂMETROS!B21)*C359</f>
        <v/>
      </c>
      <c r="E360" s="40">
        <f>SQRT(D360)</f>
        <v/>
      </c>
      <c r="F360" s="41">
        <f>E360*SQRT(PARÂMETROS!B10)</f>
        <v/>
      </c>
      <c r="G360" s="41">
        <f>VaR_PARAMÉTRICO!B12*E360</f>
        <v/>
      </c>
      <c r="H360" s="59">
        <f>G360*PARÂMETROS!B24</f>
        <v/>
      </c>
    </row>
    <row r="361" ht="16" customHeight="1">
      <c r="A361" s="35" t="n">
        <v>45064</v>
      </c>
      <c r="B361" s="68">
        <f>RETORNOS_HIST!C361</f>
        <v/>
      </c>
      <c r="C361" s="45">
        <f>B361^2</f>
        <v/>
      </c>
      <c r="D361" s="45">
        <f>PARÂMETROS!B21*D360+(1-PARÂMETROS!B21)*C360</f>
        <v/>
      </c>
      <c r="E361" s="43">
        <f>SQRT(D361)</f>
        <v/>
      </c>
      <c r="F361" s="44">
        <f>E361*SQRT(PARÂMETROS!B10)</f>
        <v/>
      </c>
      <c r="G361" s="44">
        <f>VaR_PARAMÉTRICO!B12*E361</f>
        <v/>
      </c>
      <c r="H361" s="57">
        <f>G361*PARÂMETROS!B24</f>
        <v/>
      </c>
    </row>
    <row r="362" ht="16" customHeight="1">
      <c r="A362" s="38" t="n">
        <v>45065</v>
      </c>
      <c r="B362" s="69">
        <f>RETORNOS_HIST!C362</f>
        <v/>
      </c>
      <c r="C362" s="42">
        <f>B362^2</f>
        <v/>
      </c>
      <c r="D362" s="42">
        <f>PARÂMETROS!B21*D361+(1-PARÂMETROS!B21)*C361</f>
        <v/>
      </c>
      <c r="E362" s="40">
        <f>SQRT(D362)</f>
        <v/>
      </c>
      <c r="F362" s="41">
        <f>E362*SQRT(PARÂMETROS!B10)</f>
        <v/>
      </c>
      <c r="G362" s="41">
        <f>VaR_PARAMÉTRICO!B12*E362</f>
        <v/>
      </c>
      <c r="H362" s="59">
        <f>G362*PARÂMETROS!B24</f>
        <v/>
      </c>
    </row>
    <row r="363" ht="16" customHeight="1">
      <c r="A363" s="35" t="n">
        <v>45068</v>
      </c>
      <c r="B363" s="68">
        <f>RETORNOS_HIST!C363</f>
        <v/>
      </c>
      <c r="C363" s="45">
        <f>B363^2</f>
        <v/>
      </c>
      <c r="D363" s="45">
        <f>PARÂMETROS!B21*D362+(1-PARÂMETROS!B21)*C362</f>
        <v/>
      </c>
      <c r="E363" s="43">
        <f>SQRT(D363)</f>
        <v/>
      </c>
      <c r="F363" s="44">
        <f>E363*SQRT(PARÂMETROS!B10)</f>
        <v/>
      </c>
      <c r="G363" s="44">
        <f>VaR_PARAMÉTRICO!B12*E363</f>
        <v/>
      </c>
      <c r="H363" s="57">
        <f>G363*PARÂMETROS!B24</f>
        <v/>
      </c>
    </row>
    <row r="364" ht="16" customHeight="1">
      <c r="A364" s="38" t="n">
        <v>45069</v>
      </c>
      <c r="B364" s="69">
        <f>RETORNOS_HIST!C364</f>
        <v/>
      </c>
      <c r="C364" s="42">
        <f>B364^2</f>
        <v/>
      </c>
      <c r="D364" s="42">
        <f>PARÂMETROS!B21*D363+(1-PARÂMETROS!B21)*C363</f>
        <v/>
      </c>
      <c r="E364" s="40">
        <f>SQRT(D364)</f>
        <v/>
      </c>
      <c r="F364" s="41">
        <f>E364*SQRT(PARÂMETROS!B10)</f>
        <v/>
      </c>
      <c r="G364" s="41">
        <f>VaR_PARAMÉTRICO!B12*E364</f>
        <v/>
      </c>
      <c r="H364" s="59">
        <f>G364*PARÂMETROS!B24</f>
        <v/>
      </c>
    </row>
    <row r="365" ht="16" customHeight="1">
      <c r="A365" s="35" t="n">
        <v>45070</v>
      </c>
      <c r="B365" s="68">
        <f>RETORNOS_HIST!C365</f>
        <v/>
      </c>
      <c r="C365" s="45">
        <f>B365^2</f>
        <v/>
      </c>
      <c r="D365" s="45">
        <f>PARÂMETROS!B21*D364+(1-PARÂMETROS!B21)*C364</f>
        <v/>
      </c>
      <c r="E365" s="43">
        <f>SQRT(D365)</f>
        <v/>
      </c>
      <c r="F365" s="44">
        <f>E365*SQRT(PARÂMETROS!B10)</f>
        <v/>
      </c>
      <c r="G365" s="44">
        <f>VaR_PARAMÉTRICO!B12*E365</f>
        <v/>
      </c>
      <c r="H365" s="57">
        <f>G365*PARÂMETROS!B24</f>
        <v/>
      </c>
    </row>
    <row r="366" ht="16" customHeight="1">
      <c r="A366" s="38" t="n">
        <v>45071</v>
      </c>
      <c r="B366" s="69">
        <f>RETORNOS_HIST!C366</f>
        <v/>
      </c>
      <c r="C366" s="42">
        <f>B366^2</f>
        <v/>
      </c>
      <c r="D366" s="42">
        <f>PARÂMETROS!B21*D365+(1-PARÂMETROS!B21)*C365</f>
        <v/>
      </c>
      <c r="E366" s="40">
        <f>SQRT(D366)</f>
        <v/>
      </c>
      <c r="F366" s="41">
        <f>E366*SQRT(PARÂMETROS!B10)</f>
        <v/>
      </c>
      <c r="G366" s="41">
        <f>VaR_PARAMÉTRICO!B12*E366</f>
        <v/>
      </c>
      <c r="H366" s="59">
        <f>G366*PARÂMETROS!B24</f>
        <v/>
      </c>
    </row>
    <row r="367" ht="16" customHeight="1">
      <c r="A367" s="35" t="n">
        <v>45072</v>
      </c>
      <c r="B367" s="68">
        <f>RETORNOS_HIST!C367</f>
        <v/>
      </c>
      <c r="C367" s="45">
        <f>B367^2</f>
        <v/>
      </c>
      <c r="D367" s="45">
        <f>PARÂMETROS!B21*D366+(1-PARÂMETROS!B21)*C366</f>
        <v/>
      </c>
      <c r="E367" s="43">
        <f>SQRT(D367)</f>
        <v/>
      </c>
      <c r="F367" s="44">
        <f>E367*SQRT(PARÂMETROS!B10)</f>
        <v/>
      </c>
      <c r="G367" s="44">
        <f>VaR_PARAMÉTRICO!B12*E367</f>
        <v/>
      </c>
      <c r="H367" s="57">
        <f>G367*PARÂMETROS!B24</f>
        <v/>
      </c>
    </row>
    <row r="368" ht="16" customHeight="1">
      <c r="A368" s="38" t="n">
        <v>45075</v>
      </c>
      <c r="B368" s="69">
        <f>RETORNOS_HIST!C368</f>
        <v/>
      </c>
      <c r="C368" s="42">
        <f>B368^2</f>
        <v/>
      </c>
      <c r="D368" s="42">
        <f>PARÂMETROS!B21*D367+(1-PARÂMETROS!B21)*C367</f>
        <v/>
      </c>
      <c r="E368" s="40">
        <f>SQRT(D368)</f>
        <v/>
      </c>
      <c r="F368" s="41">
        <f>E368*SQRT(PARÂMETROS!B10)</f>
        <v/>
      </c>
      <c r="G368" s="41">
        <f>VaR_PARAMÉTRICO!B12*E368</f>
        <v/>
      </c>
      <c r="H368" s="59">
        <f>G368*PARÂMETROS!B24</f>
        <v/>
      </c>
    </row>
    <row r="369" ht="16" customHeight="1">
      <c r="A369" s="35" t="n">
        <v>45076</v>
      </c>
      <c r="B369" s="68">
        <f>RETORNOS_HIST!C369</f>
        <v/>
      </c>
      <c r="C369" s="45">
        <f>B369^2</f>
        <v/>
      </c>
      <c r="D369" s="45">
        <f>PARÂMETROS!B21*D368+(1-PARÂMETROS!B21)*C368</f>
        <v/>
      </c>
      <c r="E369" s="43">
        <f>SQRT(D369)</f>
        <v/>
      </c>
      <c r="F369" s="44">
        <f>E369*SQRT(PARÂMETROS!B10)</f>
        <v/>
      </c>
      <c r="G369" s="44">
        <f>VaR_PARAMÉTRICO!B12*E369</f>
        <v/>
      </c>
      <c r="H369" s="57">
        <f>G369*PARÂMETROS!B24</f>
        <v/>
      </c>
    </row>
    <row r="370" ht="16" customHeight="1">
      <c r="A370" s="38" t="n">
        <v>45077</v>
      </c>
      <c r="B370" s="69">
        <f>RETORNOS_HIST!C370</f>
        <v/>
      </c>
      <c r="C370" s="42">
        <f>B370^2</f>
        <v/>
      </c>
      <c r="D370" s="42">
        <f>PARÂMETROS!B21*D369+(1-PARÂMETROS!B21)*C369</f>
        <v/>
      </c>
      <c r="E370" s="40">
        <f>SQRT(D370)</f>
        <v/>
      </c>
      <c r="F370" s="41">
        <f>E370*SQRT(PARÂMETROS!B10)</f>
        <v/>
      </c>
      <c r="G370" s="41">
        <f>VaR_PARAMÉTRICO!B12*E370</f>
        <v/>
      </c>
      <c r="H370" s="59">
        <f>G370*PARÂMETROS!B24</f>
        <v/>
      </c>
    </row>
    <row r="371" ht="16" customHeight="1">
      <c r="A371" s="35" t="n">
        <v>45078</v>
      </c>
      <c r="B371" s="68">
        <f>RETORNOS_HIST!C371</f>
        <v/>
      </c>
      <c r="C371" s="45">
        <f>B371^2</f>
        <v/>
      </c>
      <c r="D371" s="45">
        <f>PARÂMETROS!B21*D370+(1-PARÂMETROS!B21)*C370</f>
        <v/>
      </c>
      <c r="E371" s="43">
        <f>SQRT(D371)</f>
        <v/>
      </c>
      <c r="F371" s="44">
        <f>E371*SQRT(PARÂMETROS!B10)</f>
        <v/>
      </c>
      <c r="G371" s="44">
        <f>VaR_PARAMÉTRICO!B12*E371</f>
        <v/>
      </c>
      <c r="H371" s="57">
        <f>G371*PARÂMETROS!B24</f>
        <v/>
      </c>
    </row>
    <row r="372" ht="16" customHeight="1">
      <c r="A372" s="38" t="n">
        <v>45079</v>
      </c>
      <c r="B372" s="69">
        <f>RETORNOS_HIST!C372</f>
        <v/>
      </c>
      <c r="C372" s="42">
        <f>B372^2</f>
        <v/>
      </c>
      <c r="D372" s="42">
        <f>PARÂMETROS!B21*D371+(1-PARÂMETROS!B21)*C371</f>
        <v/>
      </c>
      <c r="E372" s="40">
        <f>SQRT(D372)</f>
        <v/>
      </c>
      <c r="F372" s="41">
        <f>E372*SQRT(PARÂMETROS!B10)</f>
        <v/>
      </c>
      <c r="G372" s="41">
        <f>VaR_PARAMÉTRICO!B12*E372</f>
        <v/>
      </c>
      <c r="H372" s="59">
        <f>G372*PARÂMETROS!B24</f>
        <v/>
      </c>
    </row>
    <row r="373" ht="16" customHeight="1">
      <c r="A373" s="35" t="n">
        <v>45082</v>
      </c>
      <c r="B373" s="68">
        <f>RETORNOS_HIST!C373</f>
        <v/>
      </c>
      <c r="C373" s="45">
        <f>B373^2</f>
        <v/>
      </c>
      <c r="D373" s="45">
        <f>PARÂMETROS!B21*D372+(1-PARÂMETROS!B21)*C372</f>
        <v/>
      </c>
      <c r="E373" s="43">
        <f>SQRT(D373)</f>
        <v/>
      </c>
      <c r="F373" s="44">
        <f>E373*SQRT(PARÂMETROS!B10)</f>
        <v/>
      </c>
      <c r="G373" s="44">
        <f>VaR_PARAMÉTRICO!B12*E373</f>
        <v/>
      </c>
      <c r="H373" s="57">
        <f>G373*PARÂMETROS!B24</f>
        <v/>
      </c>
    </row>
    <row r="374" ht="16" customHeight="1">
      <c r="A374" s="38" t="n">
        <v>45083</v>
      </c>
      <c r="B374" s="69">
        <f>RETORNOS_HIST!C374</f>
        <v/>
      </c>
      <c r="C374" s="42">
        <f>B374^2</f>
        <v/>
      </c>
      <c r="D374" s="42">
        <f>PARÂMETROS!B21*D373+(1-PARÂMETROS!B21)*C373</f>
        <v/>
      </c>
      <c r="E374" s="40">
        <f>SQRT(D374)</f>
        <v/>
      </c>
      <c r="F374" s="41">
        <f>E374*SQRT(PARÂMETROS!B10)</f>
        <v/>
      </c>
      <c r="G374" s="41">
        <f>VaR_PARAMÉTRICO!B12*E374</f>
        <v/>
      </c>
      <c r="H374" s="59">
        <f>G374*PARÂMETROS!B24</f>
        <v/>
      </c>
    </row>
    <row r="375" ht="16" customHeight="1">
      <c r="A375" s="35" t="n">
        <v>45084</v>
      </c>
      <c r="B375" s="68">
        <f>RETORNOS_HIST!C375</f>
        <v/>
      </c>
      <c r="C375" s="45">
        <f>B375^2</f>
        <v/>
      </c>
      <c r="D375" s="45">
        <f>PARÂMETROS!B21*D374+(1-PARÂMETROS!B21)*C374</f>
        <v/>
      </c>
      <c r="E375" s="43">
        <f>SQRT(D375)</f>
        <v/>
      </c>
      <c r="F375" s="44">
        <f>E375*SQRT(PARÂMETROS!B10)</f>
        <v/>
      </c>
      <c r="G375" s="44">
        <f>VaR_PARAMÉTRICO!B12*E375</f>
        <v/>
      </c>
      <c r="H375" s="57">
        <f>G375*PARÂMETROS!B24</f>
        <v/>
      </c>
    </row>
    <row r="376" ht="16" customHeight="1">
      <c r="A376" s="38" t="n">
        <v>45085</v>
      </c>
      <c r="B376" s="69">
        <f>RETORNOS_HIST!C376</f>
        <v/>
      </c>
      <c r="C376" s="42">
        <f>B376^2</f>
        <v/>
      </c>
      <c r="D376" s="42">
        <f>PARÂMETROS!B21*D375+(1-PARÂMETROS!B21)*C375</f>
        <v/>
      </c>
      <c r="E376" s="40">
        <f>SQRT(D376)</f>
        <v/>
      </c>
      <c r="F376" s="41">
        <f>E376*SQRT(PARÂMETROS!B10)</f>
        <v/>
      </c>
      <c r="G376" s="41">
        <f>VaR_PARAMÉTRICO!B12*E376</f>
        <v/>
      </c>
      <c r="H376" s="59">
        <f>G376*PARÂMETROS!B24</f>
        <v/>
      </c>
    </row>
    <row r="377" ht="16" customHeight="1">
      <c r="A377" s="35" t="n">
        <v>45086</v>
      </c>
      <c r="B377" s="68">
        <f>RETORNOS_HIST!C377</f>
        <v/>
      </c>
      <c r="C377" s="45">
        <f>B377^2</f>
        <v/>
      </c>
      <c r="D377" s="45">
        <f>PARÂMETROS!B21*D376+(1-PARÂMETROS!B21)*C376</f>
        <v/>
      </c>
      <c r="E377" s="43">
        <f>SQRT(D377)</f>
        <v/>
      </c>
      <c r="F377" s="44">
        <f>E377*SQRT(PARÂMETROS!B10)</f>
        <v/>
      </c>
      <c r="G377" s="44">
        <f>VaR_PARAMÉTRICO!B12*E377</f>
        <v/>
      </c>
      <c r="H377" s="57">
        <f>G377*PARÂMETROS!B24</f>
        <v/>
      </c>
    </row>
    <row r="378" ht="16" customHeight="1">
      <c r="A378" s="38" t="n">
        <v>45089</v>
      </c>
      <c r="B378" s="69">
        <f>RETORNOS_HIST!C378</f>
        <v/>
      </c>
      <c r="C378" s="42">
        <f>B378^2</f>
        <v/>
      </c>
      <c r="D378" s="42">
        <f>PARÂMETROS!B21*D377+(1-PARÂMETROS!B21)*C377</f>
        <v/>
      </c>
      <c r="E378" s="40">
        <f>SQRT(D378)</f>
        <v/>
      </c>
      <c r="F378" s="41">
        <f>E378*SQRT(PARÂMETROS!B10)</f>
        <v/>
      </c>
      <c r="G378" s="41">
        <f>VaR_PARAMÉTRICO!B12*E378</f>
        <v/>
      </c>
      <c r="H378" s="59">
        <f>G378*PARÂMETROS!B24</f>
        <v/>
      </c>
    </row>
    <row r="379" ht="16" customHeight="1">
      <c r="A379" s="35" t="n">
        <v>45090</v>
      </c>
      <c r="B379" s="68">
        <f>RETORNOS_HIST!C379</f>
        <v/>
      </c>
      <c r="C379" s="45">
        <f>B379^2</f>
        <v/>
      </c>
      <c r="D379" s="45">
        <f>PARÂMETROS!B21*D378+(1-PARÂMETROS!B21)*C378</f>
        <v/>
      </c>
      <c r="E379" s="43">
        <f>SQRT(D379)</f>
        <v/>
      </c>
      <c r="F379" s="44">
        <f>E379*SQRT(PARÂMETROS!B10)</f>
        <v/>
      </c>
      <c r="G379" s="44">
        <f>VaR_PARAMÉTRICO!B12*E379</f>
        <v/>
      </c>
      <c r="H379" s="57">
        <f>G379*PARÂMETROS!B24</f>
        <v/>
      </c>
    </row>
    <row r="380" ht="16" customHeight="1">
      <c r="A380" s="38" t="n">
        <v>45091</v>
      </c>
      <c r="B380" s="69">
        <f>RETORNOS_HIST!C380</f>
        <v/>
      </c>
      <c r="C380" s="42">
        <f>B380^2</f>
        <v/>
      </c>
      <c r="D380" s="42">
        <f>PARÂMETROS!B21*D379+(1-PARÂMETROS!B21)*C379</f>
        <v/>
      </c>
      <c r="E380" s="40">
        <f>SQRT(D380)</f>
        <v/>
      </c>
      <c r="F380" s="41">
        <f>E380*SQRT(PARÂMETROS!B10)</f>
        <v/>
      </c>
      <c r="G380" s="41">
        <f>VaR_PARAMÉTRICO!B12*E380</f>
        <v/>
      </c>
      <c r="H380" s="59">
        <f>G380*PARÂMETROS!B24</f>
        <v/>
      </c>
    </row>
    <row r="381" ht="16" customHeight="1">
      <c r="A381" s="35" t="n">
        <v>45092</v>
      </c>
      <c r="B381" s="68">
        <f>RETORNOS_HIST!C381</f>
        <v/>
      </c>
      <c r="C381" s="45">
        <f>B381^2</f>
        <v/>
      </c>
      <c r="D381" s="45">
        <f>PARÂMETROS!B21*D380+(1-PARÂMETROS!B21)*C380</f>
        <v/>
      </c>
      <c r="E381" s="43">
        <f>SQRT(D381)</f>
        <v/>
      </c>
      <c r="F381" s="44">
        <f>E381*SQRT(PARÂMETROS!B10)</f>
        <v/>
      </c>
      <c r="G381" s="44">
        <f>VaR_PARAMÉTRICO!B12*E381</f>
        <v/>
      </c>
      <c r="H381" s="57">
        <f>G381*PARÂMETROS!B24</f>
        <v/>
      </c>
    </row>
    <row r="382" ht="16" customHeight="1">
      <c r="A382" s="38" t="n">
        <v>45093</v>
      </c>
      <c r="B382" s="69">
        <f>RETORNOS_HIST!C382</f>
        <v/>
      </c>
      <c r="C382" s="42">
        <f>B382^2</f>
        <v/>
      </c>
      <c r="D382" s="42">
        <f>PARÂMETROS!B21*D381+(1-PARÂMETROS!B21)*C381</f>
        <v/>
      </c>
      <c r="E382" s="40">
        <f>SQRT(D382)</f>
        <v/>
      </c>
      <c r="F382" s="41">
        <f>E382*SQRT(PARÂMETROS!B10)</f>
        <v/>
      </c>
      <c r="G382" s="41">
        <f>VaR_PARAMÉTRICO!B12*E382</f>
        <v/>
      </c>
      <c r="H382" s="59">
        <f>G382*PARÂMETROS!B24</f>
        <v/>
      </c>
    </row>
    <row r="383" ht="16" customHeight="1">
      <c r="A383" s="35" t="n">
        <v>45096</v>
      </c>
      <c r="B383" s="68">
        <f>RETORNOS_HIST!C383</f>
        <v/>
      </c>
      <c r="C383" s="45">
        <f>B383^2</f>
        <v/>
      </c>
      <c r="D383" s="45">
        <f>PARÂMETROS!B21*D382+(1-PARÂMETROS!B21)*C382</f>
        <v/>
      </c>
      <c r="E383" s="43">
        <f>SQRT(D383)</f>
        <v/>
      </c>
      <c r="F383" s="44">
        <f>E383*SQRT(PARÂMETROS!B10)</f>
        <v/>
      </c>
      <c r="G383" s="44">
        <f>VaR_PARAMÉTRICO!B12*E383</f>
        <v/>
      </c>
      <c r="H383" s="57">
        <f>G383*PARÂMETROS!B24</f>
        <v/>
      </c>
    </row>
    <row r="384" ht="16" customHeight="1">
      <c r="A384" s="38" t="n">
        <v>45097</v>
      </c>
      <c r="B384" s="69">
        <f>RETORNOS_HIST!C384</f>
        <v/>
      </c>
      <c r="C384" s="42">
        <f>B384^2</f>
        <v/>
      </c>
      <c r="D384" s="42">
        <f>PARÂMETROS!B21*D383+(1-PARÂMETROS!B21)*C383</f>
        <v/>
      </c>
      <c r="E384" s="40">
        <f>SQRT(D384)</f>
        <v/>
      </c>
      <c r="F384" s="41">
        <f>E384*SQRT(PARÂMETROS!B10)</f>
        <v/>
      </c>
      <c r="G384" s="41">
        <f>VaR_PARAMÉTRICO!B12*E384</f>
        <v/>
      </c>
      <c r="H384" s="59">
        <f>G384*PARÂMETROS!B24</f>
        <v/>
      </c>
    </row>
    <row r="385" ht="16" customHeight="1">
      <c r="A385" s="35" t="n">
        <v>45098</v>
      </c>
      <c r="B385" s="68">
        <f>RETORNOS_HIST!C385</f>
        <v/>
      </c>
      <c r="C385" s="45">
        <f>B385^2</f>
        <v/>
      </c>
      <c r="D385" s="45">
        <f>PARÂMETROS!B21*D384+(1-PARÂMETROS!B21)*C384</f>
        <v/>
      </c>
      <c r="E385" s="43">
        <f>SQRT(D385)</f>
        <v/>
      </c>
      <c r="F385" s="44">
        <f>E385*SQRT(PARÂMETROS!B10)</f>
        <v/>
      </c>
      <c r="G385" s="44">
        <f>VaR_PARAMÉTRICO!B12*E385</f>
        <v/>
      </c>
      <c r="H385" s="57">
        <f>G385*PARÂMETROS!B24</f>
        <v/>
      </c>
    </row>
    <row r="386" ht="16" customHeight="1">
      <c r="A386" s="38" t="n">
        <v>45099</v>
      </c>
      <c r="B386" s="69">
        <f>RETORNOS_HIST!C386</f>
        <v/>
      </c>
      <c r="C386" s="42">
        <f>B386^2</f>
        <v/>
      </c>
      <c r="D386" s="42">
        <f>PARÂMETROS!B21*D385+(1-PARÂMETROS!B21)*C385</f>
        <v/>
      </c>
      <c r="E386" s="40">
        <f>SQRT(D386)</f>
        <v/>
      </c>
      <c r="F386" s="41">
        <f>E386*SQRT(PARÂMETROS!B10)</f>
        <v/>
      </c>
      <c r="G386" s="41">
        <f>VaR_PARAMÉTRICO!B12*E386</f>
        <v/>
      </c>
      <c r="H386" s="59">
        <f>G386*PARÂMETROS!B24</f>
        <v/>
      </c>
    </row>
    <row r="387" ht="16" customHeight="1">
      <c r="A387" s="35" t="n">
        <v>45100</v>
      </c>
      <c r="B387" s="68">
        <f>RETORNOS_HIST!C387</f>
        <v/>
      </c>
      <c r="C387" s="45">
        <f>B387^2</f>
        <v/>
      </c>
      <c r="D387" s="45">
        <f>PARÂMETROS!B21*D386+(1-PARÂMETROS!B21)*C386</f>
        <v/>
      </c>
      <c r="E387" s="43">
        <f>SQRT(D387)</f>
        <v/>
      </c>
      <c r="F387" s="44">
        <f>E387*SQRT(PARÂMETROS!B10)</f>
        <v/>
      </c>
      <c r="G387" s="44">
        <f>VaR_PARAMÉTRICO!B12*E387</f>
        <v/>
      </c>
      <c r="H387" s="57">
        <f>G387*PARÂMETROS!B24</f>
        <v/>
      </c>
    </row>
    <row r="388" ht="16" customHeight="1">
      <c r="A388" s="38" t="n">
        <v>45103</v>
      </c>
      <c r="B388" s="69">
        <f>RETORNOS_HIST!C388</f>
        <v/>
      </c>
      <c r="C388" s="42">
        <f>B388^2</f>
        <v/>
      </c>
      <c r="D388" s="42">
        <f>PARÂMETROS!B21*D387+(1-PARÂMETROS!B21)*C387</f>
        <v/>
      </c>
      <c r="E388" s="40">
        <f>SQRT(D388)</f>
        <v/>
      </c>
      <c r="F388" s="41">
        <f>E388*SQRT(PARÂMETROS!B10)</f>
        <v/>
      </c>
      <c r="G388" s="41">
        <f>VaR_PARAMÉTRICO!B12*E388</f>
        <v/>
      </c>
      <c r="H388" s="59">
        <f>G388*PARÂMETROS!B24</f>
        <v/>
      </c>
    </row>
    <row r="389" ht="16" customHeight="1">
      <c r="A389" s="35" t="n">
        <v>45104</v>
      </c>
      <c r="B389" s="68">
        <f>RETORNOS_HIST!C389</f>
        <v/>
      </c>
      <c r="C389" s="45">
        <f>B389^2</f>
        <v/>
      </c>
      <c r="D389" s="45">
        <f>PARÂMETROS!B21*D388+(1-PARÂMETROS!B21)*C388</f>
        <v/>
      </c>
      <c r="E389" s="43">
        <f>SQRT(D389)</f>
        <v/>
      </c>
      <c r="F389" s="44">
        <f>E389*SQRT(PARÂMETROS!B10)</f>
        <v/>
      </c>
      <c r="G389" s="44">
        <f>VaR_PARAMÉTRICO!B12*E389</f>
        <v/>
      </c>
      <c r="H389" s="57">
        <f>G389*PARÂMETROS!B24</f>
        <v/>
      </c>
    </row>
    <row r="390" ht="16" customHeight="1">
      <c r="A390" s="38" t="n">
        <v>45105</v>
      </c>
      <c r="B390" s="69">
        <f>RETORNOS_HIST!C390</f>
        <v/>
      </c>
      <c r="C390" s="42">
        <f>B390^2</f>
        <v/>
      </c>
      <c r="D390" s="42">
        <f>PARÂMETROS!B21*D389+(1-PARÂMETROS!B21)*C389</f>
        <v/>
      </c>
      <c r="E390" s="40">
        <f>SQRT(D390)</f>
        <v/>
      </c>
      <c r="F390" s="41">
        <f>E390*SQRT(PARÂMETROS!B10)</f>
        <v/>
      </c>
      <c r="G390" s="41">
        <f>VaR_PARAMÉTRICO!B12*E390</f>
        <v/>
      </c>
      <c r="H390" s="59">
        <f>G390*PARÂMETROS!B24</f>
        <v/>
      </c>
    </row>
    <row r="391" ht="16" customHeight="1">
      <c r="A391" s="35" t="n">
        <v>45106</v>
      </c>
      <c r="B391" s="68">
        <f>RETORNOS_HIST!C391</f>
        <v/>
      </c>
      <c r="C391" s="45">
        <f>B391^2</f>
        <v/>
      </c>
      <c r="D391" s="45">
        <f>PARÂMETROS!B21*D390+(1-PARÂMETROS!B21)*C390</f>
        <v/>
      </c>
      <c r="E391" s="43">
        <f>SQRT(D391)</f>
        <v/>
      </c>
      <c r="F391" s="44">
        <f>E391*SQRT(PARÂMETROS!B10)</f>
        <v/>
      </c>
      <c r="G391" s="44">
        <f>VaR_PARAMÉTRICO!B12*E391</f>
        <v/>
      </c>
      <c r="H391" s="57">
        <f>G391*PARÂMETROS!B24</f>
        <v/>
      </c>
    </row>
    <row r="392" ht="16" customHeight="1">
      <c r="A392" s="38" t="n">
        <v>45107</v>
      </c>
      <c r="B392" s="69">
        <f>RETORNOS_HIST!C392</f>
        <v/>
      </c>
      <c r="C392" s="42">
        <f>B392^2</f>
        <v/>
      </c>
      <c r="D392" s="42">
        <f>PARÂMETROS!B21*D391+(1-PARÂMETROS!B21)*C391</f>
        <v/>
      </c>
      <c r="E392" s="40">
        <f>SQRT(D392)</f>
        <v/>
      </c>
      <c r="F392" s="41">
        <f>E392*SQRT(PARÂMETROS!B10)</f>
        <v/>
      </c>
      <c r="G392" s="41">
        <f>VaR_PARAMÉTRICO!B12*E392</f>
        <v/>
      </c>
      <c r="H392" s="59">
        <f>G392*PARÂMETROS!B24</f>
        <v/>
      </c>
    </row>
    <row r="393" ht="16" customHeight="1">
      <c r="A393" s="35" t="n">
        <v>45110</v>
      </c>
      <c r="B393" s="68">
        <f>RETORNOS_HIST!C393</f>
        <v/>
      </c>
      <c r="C393" s="45">
        <f>B393^2</f>
        <v/>
      </c>
      <c r="D393" s="45">
        <f>PARÂMETROS!B21*D392+(1-PARÂMETROS!B21)*C392</f>
        <v/>
      </c>
      <c r="E393" s="43">
        <f>SQRT(D393)</f>
        <v/>
      </c>
      <c r="F393" s="44">
        <f>E393*SQRT(PARÂMETROS!B10)</f>
        <v/>
      </c>
      <c r="G393" s="44">
        <f>VaR_PARAMÉTRICO!B12*E393</f>
        <v/>
      </c>
      <c r="H393" s="57">
        <f>G393*PARÂMETROS!B24</f>
        <v/>
      </c>
    </row>
    <row r="394" ht="16" customHeight="1">
      <c r="A394" s="38" t="n">
        <v>45111</v>
      </c>
      <c r="B394" s="69">
        <f>RETORNOS_HIST!C394</f>
        <v/>
      </c>
      <c r="C394" s="42">
        <f>B394^2</f>
        <v/>
      </c>
      <c r="D394" s="42">
        <f>PARÂMETROS!B21*D393+(1-PARÂMETROS!B21)*C393</f>
        <v/>
      </c>
      <c r="E394" s="40">
        <f>SQRT(D394)</f>
        <v/>
      </c>
      <c r="F394" s="41">
        <f>E394*SQRT(PARÂMETROS!B10)</f>
        <v/>
      </c>
      <c r="G394" s="41">
        <f>VaR_PARAMÉTRICO!B12*E394</f>
        <v/>
      </c>
      <c r="H394" s="59">
        <f>G394*PARÂMETROS!B24</f>
        <v/>
      </c>
    </row>
    <row r="395" ht="16" customHeight="1">
      <c r="A395" s="35" t="n">
        <v>45112</v>
      </c>
      <c r="B395" s="68">
        <f>RETORNOS_HIST!C395</f>
        <v/>
      </c>
      <c r="C395" s="45">
        <f>B395^2</f>
        <v/>
      </c>
      <c r="D395" s="45">
        <f>PARÂMETROS!B21*D394+(1-PARÂMETROS!B21)*C394</f>
        <v/>
      </c>
      <c r="E395" s="43">
        <f>SQRT(D395)</f>
        <v/>
      </c>
      <c r="F395" s="44">
        <f>E395*SQRT(PARÂMETROS!B10)</f>
        <v/>
      </c>
      <c r="G395" s="44">
        <f>VaR_PARAMÉTRICO!B12*E395</f>
        <v/>
      </c>
      <c r="H395" s="57">
        <f>G395*PARÂMETROS!B24</f>
        <v/>
      </c>
    </row>
    <row r="396" ht="16" customHeight="1">
      <c r="A396" s="38" t="n">
        <v>45113</v>
      </c>
      <c r="B396" s="69">
        <f>RETORNOS_HIST!C396</f>
        <v/>
      </c>
      <c r="C396" s="42">
        <f>B396^2</f>
        <v/>
      </c>
      <c r="D396" s="42">
        <f>PARÂMETROS!B21*D395+(1-PARÂMETROS!B21)*C395</f>
        <v/>
      </c>
      <c r="E396" s="40">
        <f>SQRT(D396)</f>
        <v/>
      </c>
      <c r="F396" s="41">
        <f>E396*SQRT(PARÂMETROS!B10)</f>
        <v/>
      </c>
      <c r="G396" s="41">
        <f>VaR_PARAMÉTRICO!B12*E396</f>
        <v/>
      </c>
      <c r="H396" s="59">
        <f>G396*PARÂMETROS!B24</f>
        <v/>
      </c>
    </row>
    <row r="397" ht="16" customHeight="1">
      <c r="A397" s="35" t="n">
        <v>45114</v>
      </c>
      <c r="B397" s="68">
        <f>RETORNOS_HIST!C397</f>
        <v/>
      </c>
      <c r="C397" s="45">
        <f>B397^2</f>
        <v/>
      </c>
      <c r="D397" s="45">
        <f>PARÂMETROS!B21*D396+(1-PARÂMETROS!B21)*C396</f>
        <v/>
      </c>
      <c r="E397" s="43">
        <f>SQRT(D397)</f>
        <v/>
      </c>
      <c r="F397" s="44">
        <f>E397*SQRT(PARÂMETROS!B10)</f>
        <v/>
      </c>
      <c r="G397" s="44">
        <f>VaR_PARAMÉTRICO!B12*E397</f>
        <v/>
      </c>
      <c r="H397" s="57">
        <f>G397*PARÂMETROS!B24</f>
        <v/>
      </c>
    </row>
    <row r="398" ht="16" customHeight="1">
      <c r="A398" s="38" t="n">
        <v>45117</v>
      </c>
      <c r="B398" s="69">
        <f>RETORNOS_HIST!C398</f>
        <v/>
      </c>
      <c r="C398" s="42">
        <f>B398^2</f>
        <v/>
      </c>
      <c r="D398" s="42">
        <f>PARÂMETROS!B21*D397+(1-PARÂMETROS!B21)*C397</f>
        <v/>
      </c>
      <c r="E398" s="40">
        <f>SQRT(D398)</f>
        <v/>
      </c>
      <c r="F398" s="41">
        <f>E398*SQRT(PARÂMETROS!B10)</f>
        <v/>
      </c>
      <c r="G398" s="41">
        <f>VaR_PARAMÉTRICO!B12*E398</f>
        <v/>
      </c>
      <c r="H398" s="59">
        <f>G398*PARÂMETROS!B24</f>
        <v/>
      </c>
    </row>
    <row r="399" ht="16" customHeight="1">
      <c r="A399" s="35" t="n">
        <v>45118</v>
      </c>
      <c r="B399" s="68">
        <f>RETORNOS_HIST!C399</f>
        <v/>
      </c>
      <c r="C399" s="45">
        <f>B399^2</f>
        <v/>
      </c>
      <c r="D399" s="45">
        <f>PARÂMETROS!B21*D398+(1-PARÂMETROS!B21)*C398</f>
        <v/>
      </c>
      <c r="E399" s="43">
        <f>SQRT(D399)</f>
        <v/>
      </c>
      <c r="F399" s="44">
        <f>E399*SQRT(PARÂMETROS!B10)</f>
        <v/>
      </c>
      <c r="G399" s="44">
        <f>VaR_PARAMÉTRICO!B12*E399</f>
        <v/>
      </c>
      <c r="H399" s="57">
        <f>G399*PARÂMETROS!B24</f>
        <v/>
      </c>
    </row>
    <row r="400" ht="16" customHeight="1">
      <c r="A400" s="38" t="n">
        <v>45119</v>
      </c>
      <c r="B400" s="69">
        <f>RETORNOS_HIST!C400</f>
        <v/>
      </c>
      <c r="C400" s="42">
        <f>B400^2</f>
        <v/>
      </c>
      <c r="D400" s="42">
        <f>PARÂMETROS!B21*D399+(1-PARÂMETROS!B21)*C399</f>
        <v/>
      </c>
      <c r="E400" s="40">
        <f>SQRT(D400)</f>
        <v/>
      </c>
      <c r="F400" s="41">
        <f>E400*SQRT(PARÂMETROS!B10)</f>
        <v/>
      </c>
      <c r="G400" s="41">
        <f>VaR_PARAMÉTRICO!B12*E400</f>
        <v/>
      </c>
      <c r="H400" s="59">
        <f>G400*PARÂMETROS!B24</f>
        <v/>
      </c>
    </row>
    <row r="401" ht="16" customHeight="1">
      <c r="A401" s="35" t="n">
        <v>45120</v>
      </c>
      <c r="B401" s="68">
        <f>RETORNOS_HIST!C401</f>
        <v/>
      </c>
      <c r="C401" s="45">
        <f>B401^2</f>
        <v/>
      </c>
      <c r="D401" s="45">
        <f>PARÂMETROS!B21*D400+(1-PARÂMETROS!B21)*C400</f>
        <v/>
      </c>
      <c r="E401" s="43">
        <f>SQRT(D401)</f>
        <v/>
      </c>
      <c r="F401" s="44">
        <f>E401*SQRT(PARÂMETROS!B10)</f>
        <v/>
      </c>
      <c r="G401" s="44">
        <f>VaR_PARAMÉTRICO!B12*E401</f>
        <v/>
      </c>
      <c r="H401" s="57">
        <f>G401*PARÂMETROS!B24</f>
        <v/>
      </c>
    </row>
    <row r="402" ht="16" customHeight="1">
      <c r="A402" s="38" t="n">
        <v>45121</v>
      </c>
      <c r="B402" s="69">
        <f>RETORNOS_HIST!C402</f>
        <v/>
      </c>
      <c r="C402" s="42">
        <f>B402^2</f>
        <v/>
      </c>
      <c r="D402" s="42">
        <f>PARÂMETROS!B21*D401+(1-PARÂMETROS!B21)*C401</f>
        <v/>
      </c>
      <c r="E402" s="40">
        <f>SQRT(D402)</f>
        <v/>
      </c>
      <c r="F402" s="41">
        <f>E402*SQRT(PARÂMETROS!B10)</f>
        <v/>
      </c>
      <c r="G402" s="41">
        <f>VaR_PARAMÉTRICO!B12*E402</f>
        <v/>
      </c>
      <c r="H402" s="59">
        <f>G402*PARÂMETROS!B24</f>
        <v/>
      </c>
    </row>
    <row r="403" ht="16" customHeight="1">
      <c r="A403" s="35" t="n">
        <v>45124</v>
      </c>
      <c r="B403" s="68">
        <f>RETORNOS_HIST!C403</f>
        <v/>
      </c>
      <c r="C403" s="45">
        <f>B403^2</f>
        <v/>
      </c>
      <c r="D403" s="45">
        <f>PARÂMETROS!B21*D402+(1-PARÂMETROS!B21)*C402</f>
        <v/>
      </c>
      <c r="E403" s="43">
        <f>SQRT(D403)</f>
        <v/>
      </c>
      <c r="F403" s="44">
        <f>E403*SQRT(PARÂMETROS!B10)</f>
        <v/>
      </c>
      <c r="G403" s="44">
        <f>VaR_PARAMÉTRICO!B12*E403</f>
        <v/>
      </c>
      <c r="H403" s="57">
        <f>G403*PARÂMETROS!B24</f>
        <v/>
      </c>
    </row>
    <row r="404" ht="16" customHeight="1">
      <c r="A404" s="38" t="n">
        <v>45125</v>
      </c>
      <c r="B404" s="69">
        <f>RETORNOS_HIST!C404</f>
        <v/>
      </c>
      <c r="C404" s="42">
        <f>B404^2</f>
        <v/>
      </c>
      <c r="D404" s="42">
        <f>PARÂMETROS!B21*D403+(1-PARÂMETROS!B21)*C403</f>
        <v/>
      </c>
      <c r="E404" s="40">
        <f>SQRT(D404)</f>
        <v/>
      </c>
      <c r="F404" s="41">
        <f>E404*SQRT(PARÂMETROS!B10)</f>
        <v/>
      </c>
      <c r="G404" s="41">
        <f>VaR_PARAMÉTRICO!B12*E404</f>
        <v/>
      </c>
      <c r="H404" s="59">
        <f>G404*PARÂMETROS!B24</f>
        <v/>
      </c>
    </row>
    <row r="405" ht="16" customHeight="1">
      <c r="A405" s="35" t="n">
        <v>45126</v>
      </c>
      <c r="B405" s="68">
        <f>RETORNOS_HIST!C405</f>
        <v/>
      </c>
      <c r="C405" s="45">
        <f>B405^2</f>
        <v/>
      </c>
      <c r="D405" s="45">
        <f>PARÂMETROS!B21*D404+(1-PARÂMETROS!B21)*C404</f>
        <v/>
      </c>
      <c r="E405" s="43">
        <f>SQRT(D405)</f>
        <v/>
      </c>
      <c r="F405" s="44">
        <f>E405*SQRT(PARÂMETROS!B10)</f>
        <v/>
      </c>
      <c r="G405" s="44">
        <f>VaR_PARAMÉTRICO!B12*E405</f>
        <v/>
      </c>
      <c r="H405" s="57">
        <f>G405*PARÂMETROS!B24</f>
        <v/>
      </c>
    </row>
    <row r="406" ht="16" customHeight="1">
      <c r="A406" s="38" t="n">
        <v>45127</v>
      </c>
      <c r="B406" s="69">
        <f>RETORNOS_HIST!C406</f>
        <v/>
      </c>
      <c r="C406" s="42">
        <f>B406^2</f>
        <v/>
      </c>
      <c r="D406" s="42">
        <f>PARÂMETROS!B21*D405+(1-PARÂMETROS!B21)*C405</f>
        <v/>
      </c>
      <c r="E406" s="40">
        <f>SQRT(D406)</f>
        <v/>
      </c>
      <c r="F406" s="41">
        <f>E406*SQRT(PARÂMETROS!B10)</f>
        <v/>
      </c>
      <c r="G406" s="41">
        <f>VaR_PARAMÉTRICO!B12*E406</f>
        <v/>
      </c>
      <c r="H406" s="59">
        <f>G406*PARÂMETROS!B24</f>
        <v/>
      </c>
    </row>
    <row r="407" ht="16" customHeight="1">
      <c r="A407" s="35" t="n">
        <v>45128</v>
      </c>
      <c r="B407" s="68">
        <f>RETORNOS_HIST!C407</f>
        <v/>
      </c>
      <c r="C407" s="45">
        <f>B407^2</f>
        <v/>
      </c>
      <c r="D407" s="45">
        <f>PARÂMETROS!B21*D406+(1-PARÂMETROS!B21)*C406</f>
        <v/>
      </c>
      <c r="E407" s="43">
        <f>SQRT(D407)</f>
        <v/>
      </c>
      <c r="F407" s="44">
        <f>E407*SQRT(PARÂMETROS!B10)</f>
        <v/>
      </c>
      <c r="G407" s="44">
        <f>VaR_PARAMÉTRICO!B12*E407</f>
        <v/>
      </c>
      <c r="H407" s="57">
        <f>G407*PARÂMETROS!B24</f>
        <v/>
      </c>
    </row>
    <row r="408" ht="16" customHeight="1">
      <c r="A408" s="38" t="n">
        <v>45131</v>
      </c>
      <c r="B408" s="69">
        <f>RETORNOS_HIST!C408</f>
        <v/>
      </c>
      <c r="C408" s="42">
        <f>B408^2</f>
        <v/>
      </c>
      <c r="D408" s="42">
        <f>PARÂMETROS!B21*D407+(1-PARÂMETROS!B21)*C407</f>
        <v/>
      </c>
      <c r="E408" s="40">
        <f>SQRT(D408)</f>
        <v/>
      </c>
      <c r="F408" s="41">
        <f>E408*SQRT(PARÂMETROS!B10)</f>
        <v/>
      </c>
      <c r="G408" s="41">
        <f>VaR_PARAMÉTRICO!B12*E408</f>
        <v/>
      </c>
      <c r="H408" s="59">
        <f>G408*PARÂMETROS!B24</f>
        <v/>
      </c>
    </row>
    <row r="409" ht="16" customHeight="1">
      <c r="A409" s="35" t="n">
        <v>45132</v>
      </c>
      <c r="B409" s="68">
        <f>RETORNOS_HIST!C409</f>
        <v/>
      </c>
      <c r="C409" s="45">
        <f>B409^2</f>
        <v/>
      </c>
      <c r="D409" s="45">
        <f>PARÂMETROS!B21*D408+(1-PARÂMETROS!B21)*C408</f>
        <v/>
      </c>
      <c r="E409" s="43">
        <f>SQRT(D409)</f>
        <v/>
      </c>
      <c r="F409" s="44">
        <f>E409*SQRT(PARÂMETROS!B10)</f>
        <v/>
      </c>
      <c r="G409" s="44">
        <f>VaR_PARAMÉTRICO!B12*E409</f>
        <v/>
      </c>
      <c r="H409" s="57">
        <f>G409*PARÂMETROS!B24</f>
        <v/>
      </c>
    </row>
    <row r="410" ht="16" customHeight="1">
      <c r="A410" s="38" t="n">
        <v>45133</v>
      </c>
      <c r="B410" s="69">
        <f>RETORNOS_HIST!C410</f>
        <v/>
      </c>
      <c r="C410" s="42">
        <f>B410^2</f>
        <v/>
      </c>
      <c r="D410" s="42">
        <f>PARÂMETROS!B21*D409+(1-PARÂMETROS!B21)*C409</f>
        <v/>
      </c>
      <c r="E410" s="40">
        <f>SQRT(D410)</f>
        <v/>
      </c>
      <c r="F410" s="41">
        <f>E410*SQRT(PARÂMETROS!B10)</f>
        <v/>
      </c>
      <c r="G410" s="41">
        <f>VaR_PARAMÉTRICO!B12*E410</f>
        <v/>
      </c>
      <c r="H410" s="59">
        <f>G410*PARÂMETROS!B24</f>
        <v/>
      </c>
    </row>
    <row r="411" ht="16" customHeight="1">
      <c r="A411" s="35" t="n">
        <v>45134</v>
      </c>
      <c r="B411" s="68">
        <f>RETORNOS_HIST!C411</f>
        <v/>
      </c>
      <c r="C411" s="45">
        <f>B411^2</f>
        <v/>
      </c>
      <c r="D411" s="45">
        <f>PARÂMETROS!B21*D410+(1-PARÂMETROS!B21)*C410</f>
        <v/>
      </c>
      <c r="E411" s="43">
        <f>SQRT(D411)</f>
        <v/>
      </c>
      <c r="F411" s="44">
        <f>E411*SQRT(PARÂMETROS!B10)</f>
        <v/>
      </c>
      <c r="G411" s="44">
        <f>VaR_PARAMÉTRICO!B12*E411</f>
        <v/>
      </c>
      <c r="H411" s="57">
        <f>G411*PARÂMETROS!B24</f>
        <v/>
      </c>
    </row>
    <row r="412" ht="16" customHeight="1">
      <c r="A412" s="38" t="n">
        <v>45135</v>
      </c>
      <c r="B412" s="69">
        <f>RETORNOS_HIST!C412</f>
        <v/>
      </c>
      <c r="C412" s="42">
        <f>B412^2</f>
        <v/>
      </c>
      <c r="D412" s="42">
        <f>PARÂMETROS!B21*D411+(1-PARÂMETROS!B21)*C411</f>
        <v/>
      </c>
      <c r="E412" s="40">
        <f>SQRT(D412)</f>
        <v/>
      </c>
      <c r="F412" s="41">
        <f>E412*SQRT(PARÂMETROS!B10)</f>
        <v/>
      </c>
      <c r="G412" s="41">
        <f>VaR_PARAMÉTRICO!B12*E412</f>
        <v/>
      </c>
      <c r="H412" s="59">
        <f>G412*PARÂMETROS!B24</f>
        <v/>
      </c>
    </row>
    <row r="413" ht="16" customHeight="1">
      <c r="A413" s="35" t="n">
        <v>45138</v>
      </c>
      <c r="B413" s="68">
        <f>RETORNOS_HIST!C413</f>
        <v/>
      </c>
      <c r="C413" s="45">
        <f>B413^2</f>
        <v/>
      </c>
      <c r="D413" s="45">
        <f>PARÂMETROS!B21*D412+(1-PARÂMETROS!B21)*C412</f>
        <v/>
      </c>
      <c r="E413" s="43">
        <f>SQRT(D413)</f>
        <v/>
      </c>
      <c r="F413" s="44">
        <f>E413*SQRT(PARÂMETROS!B10)</f>
        <v/>
      </c>
      <c r="G413" s="44">
        <f>VaR_PARAMÉTRICO!B12*E413</f>
        <v/>
      </c>
      <c r="H413" s="57">
        <f>G413*PARÂMETROS!B24</f>
        <v/>
      </c>
    </row>
    <row r="414" ht="16" customHeight="1">
      <c r="A414" s="38" t="n">
        <v>45139</v>
      </c>
      <c r="B414" s="69">
        <f>RETORNOS_HIST!C414</f>
        <v/>
      </c>
      <c r="C414" s="42">
        <f>B414^2</f>
        <v/>
      </c>
      <c r="D414" s="42">
        <f>PARÂMETROS!B21*D413+(1-PARÂMETROS!B21)*C413</f>
        <v/>
      </c>
      <c r="E414" s="40">
        <f>SQRT(D414)</f>
        <v/>
      </c>
      <c r="F414" s="41">
        <f>E414*SQRT(PARÂMETROS!B10)</f>
        <v/>
      </c>
      <c r="G414" s="41">
        <f>VaR_PARAMÉTRICO!B12*E414</f>
        <v/>
      </c>
      <c r="H414" s="59">
        <f>G414*PARÂMETROS!B24</f>
        <v/>
      </c>
    </row>
    <row r="415" ht="16" customHeight="1">
      <c r="A415" s="35" t="n">
        <v>45140</v>
      </c>
      <c r="B415" s="68">
        <f>RETORNOS_HIST!C415</f>
        <v/>
      </c>
      <c r="C415" s="45">
        <f>B415^2</f>
        <v/>
      </c>
      <c r="D415" s="45">
        <f>PARÂMETROS!B21*D414+(1-PARÂMETROS!B21)*C414</f>
        <v/>
      </c>
      <c r="E415" s="43">
        <f>SQRT(D415)</f>
        <v/>
      </c>
      <c r="F415" s="44">
        <f>E415*SQRT(PARÂMETROS!B10)</f>
        <v/>
      </c>
      <c r="G415" s="44">
        <f>VaR_PARAMÉTRICO!B12*E415</f>
        <v/>
      </c>
      <c r="H415" s="57">
        <f>G415*PARÂMETROS!B24</f>
        <v/>
      </c>
    </row>
    <row r="416" ht="16" customHeight="1">
      <c r="A416" s="38" t="n">
        <v>45141</v>
      </c>
      <c r="B416" s="69">
        <f>RETORNOS_HIST!C416</f>
        <v/>
      </c>
      <c r="C416" s="42">
        <f>B416^2</f>
        <v/>
      </c>
      <c r="D416" s="42">
        <f>PARÂMETROS!B21*D415+(1-PARÂMETROS!B21)*C415</f>
        <v/>
      </c>
      <c r="E416" s="40">
        <f>SQRT(D416)</f>
        <v/>
      </c>
      <c r="F416" s="41">
        <f>E416*SQRT(PARÂMETROS!B10)</f>
        <v/>
      </c>
      <c r="G416" s="41">
        <f>VaR_PARAMÉTRICO!B12*E416</f>
        <v/>
      </c>
      <c r="H416" s="59">
        <f>G416*PARÂMETROS!B24</f>
        <v/>
      </c>
    </row>
    <row r="417" ht="16" customHeight="1">
      <c r="A417" s="35" t="n">
        <v>45142</v>
      </c>
      <c r="B417" s="68">
        <f>RETORNOS_HIST!C417</f>
        <v/>
      </c>
      <c r="C417" s="45">
        <f>B417^2</f>
        <v/>
      </c>
      <c r="D417" s="45">
        <f>PARÂMETROS!B21*D416+(1-PARÂMETROS!B21)*C416</f>
        <v/>
      </c>
      <c r="E417" s="43">
        <f>SQRT(D417)</f>
        <v/>
      </c>
      <c r="F417" s="44">
        <f>E417*SQRT(PARÂMETROS!B10)</f>
        <v/>
      </c>
      <c r="G417" s="44">
        <f>VaR_PARAMÉTRICO!B12*E417</f>
        <v/>
      </c>
      <c r="H417" s="57">
        <f>G417*PARÂMETROS!B24</f>
        <v/>
      </c>
    </row>
    <row r="418" ht="16" customHeight="1">
      <c r="A418" s="38" t="n">
        <v>45145</v>
      </c>
      <c r="B418" s="69">
        <f>RETORNOS_HIST!C418</f>
        <v/>
      </c>
      <c r="C418" s="42">
        <f>B418^2</f>
        <v/>
      </c>
      <c r="D418" s="42">
        <f>PARÂMETROS!B21*D417+(1-PARÂMETROS!B21)*C417</f>
        <v/>
      </c>
      <c r="E418" s="40">
        <f>SQRT(D418)</f>
        <v/>
      </c>
      <c r="F418" s="41">
        <f>E418*SQRT(PARÂMETROS!B10)</f>
        <v/>
      </c>
      <c r="G418" s="41">
        <f>VaR_PARAMÉTRICO!B12*E418</f>
        <v/>
      </c>
      <c r="H418" s="59">
        <f>G418*PARÂMETROS!B24</f>
        <v/>
      </c>
    </row>
    <row r="419" ht="16" customHeight="1">
      <c r="A419" s="35" t="n">
        <v>45146</v>
      </c>
      <c r="B419" s="68">
        <f>RETORNOS_HIST!C419</f>
        <v/>
      </c>
      <c r="C419" s="45">
        <f>B419^2</f>
        <v/>
      </c>
      <c r="D419" s="45">
        <f>PARÂMETROS!B21*D418+(1-PARÂMETROS!B21)*C418</f>
        <v/>
      </c>
      <c r="E419" s="43">
        <f>SQRT(D419)</f>
        <v/>
      </c>
      <c r="F419" s="44">
        <f>E419*SQRT(PARÂMETROS!B10)</f>
        <v/>
      </c>
      <c r="G419" s="44">
        <f>VaR_PARAMÉTRICO!B12*E419</f>
        <v/>
      </c>
      <c r="H419" s="57">
        <f>G419*PARÂMETROS!B24</f>
        <v/>
      </c>
    </row>
    <row r="420" ht="16" customHeight="1">
      <c r="A420" s="38" t="n">
        <v>45147</v>
      </c>
      <c r="B420" s="69">
        <f>RETORNOS_HIST!C420</f>
        <v/>
      </c>
      <c r="C420" s="42">
        <f>B420^2</f>
        <v/>
      </c>
      <c r="D420" s="42">
        <f>PARÂMETROS!B21*D419+(1-PARÂMETROS!B21)*C419</f>
        <v/>
      </c>
      <c r="E420" s="40">
        <f>SQRT(D420)</f>
        <v/>
      </c>
      <c r="F420" s="41">
        <f>E420*SQRT(PARÂMETROS!B10)</f>
        <v/>
      </c>
      <c r="G420" s="41">
        <f>VaR_PARAMÉTRICO!B12*E420</f>
        <v/>
      </c>
      <c r="H420" s="59">
        <f>G420*PARÂMETROS!B24</f>
        <v/>
      </c>
    </row>
    <row r="421" ht="16" customHeight="1">
      <c r="A421" s="35" t="n">
        <v>45148</v>
      </c>
      <c r="B421" s="68">
        <f>RETORNOS_HIST!C421</f>
        <v/>
      </c>
      <c r="C421" s="45">
        <f>B421^2</f>
        <v/>
      </c>
      <c r="D421" s="45">
        <f>PARÂMETROS!B21*D420+(1-PARÂMETROS!B21)*C420</f>
        <v/>
      </c>
      <c r="E421" s="43">
        <f>SQRT(D421)</f>
        <v/>
      </c>
      <c r="F421" s="44">
        <f>E421*SQRT(PARÂMETROS!B10)</f>
        <v/>
      </c>
      <c r="G421" s="44">
        <f>VaR_PARAMÉTRICO!B12*E421</f>
        <v/>
      </c>
      <c r="H421" s="57">
        <f>G421*PARÂMETROS!B24</f>
        <v/>
      </c>
    </row>
    <row r="422" ht="16" customHeight="1">
      <c r="A422" s="38" t="n">
        <v>45149</v>
      </c>
      <c r="B422" s="69">
        <f>RETORNOS_HIST!C422</f>
        <v/>
      </c>
      <c r="C422" s="42">
        <f>B422^2</f>
        <v/>
      </c>
      <c r="D422" s="42">
        <f>PARÂMETROS!B21*D421+(1-PARÂMETROS!B21)*C421</f>
        <v/>
      </c>
      <c r="E422" s="40">
        <f>SQRT(D422)</f>
        <v/>
      </c>
      <c r="F422" s="41">
        <f>E422*SQRT(PARÂMETROS!B10)</f>
        <v/>
      </c>
      <c r="G422" s="41">
        <f>VaR_PARAMÉTRICO!B12*E422</f>
        <v/>
      </c>
      <c r="H422" s="59">
        <f>G422*PARÂMETROS!B24</f>
        <v/>
      </c>
    </row>
    <row r="423" ht="16" customHeight="1">
      <c r="A423" s="35" t="n">
        <v>45152</v>
      </c>
      <c r="B423" s="68">
        <f>RETORNOS_HIST!C423</f>
        <v/>
      </c>
      <c r="C423" s="45">
        <f>B423^2</f>
        <v/>
      </c>
      <c r="D423" s="45">
        <f>PARÂMETROS!B21*D422+(1-PARÂMETROS!B21)*C422</f>
        <v/>
      </c>
      <c r="E423" s="43">
        <f>SQRT(D423)</f>
        <v/>
      </c>
      <c r="F423" s="44">
        <f>E423*SQRT(PARÂMETROS!B10)</f>
        <v/>
      </c>
      <c r="G423" s="44">
        <f>VaR_PARAMÉTRICO!B12*E423</f>
        <v/>
      </c>
      <c r="H423" s="57">
        <f>G423*PARÂMETROS!B24</f>
        <v/>
      </c>
    </row>
    <row r="424" ht="16" customHeight="1">
      <c r="A424" s="38" t="n">
        <v>45153</v>
      </c>
      <c r="B424" s="69">
        <f>RETORNOS_HIST!C424</f>
        <v/>
      </c>
      <c r="C424" s="42">
        <f>B424^2</f>
        <v/>
      </c>
      <c r="D424" s="42">
        <f>PARÂMETROS!B21*D423+(1-PARÂMETROS!B21)*C423</f>
        <v/>
      </c>
      <c r="E424" s="40">
        <f>SQRT(D424)</f>
        <v/>
      </c>
      <c r="F424" s="41">
        <f>E424*SQRT(PARÂMETROS!B10)</f>
        <v/>
      </c>
      <c r="G424" s="41">
        <f>VaR_PARAMÉTRICO!B12*E424</f>
        <v/>
      </c>
      <c r="H424" s="59">
        <f>G424*PARÂMETROS!B24</f>
        <v/>
      </c>
    </row>
    <row r="425" ht="16" customHeight="1">
      <c r="A425" s="35" t="n">
        <v>45154</v>
      </c>
      <c r="B425" s="68">
        <f>RETORNOS_HIST!C425</f>
        <v/>
      </c>
      <c r="C425" s="45">
        <f>B425^2</f>
        <v/>
      </c>
      <c r="D425" s="45">
        <f>PARÂMETROS!B21*D424+(1-PARÂMETROS!B21)*C424</f>
        <v/>
      </c>
      <c r="E425" s="43">
        <f>SQRT(D425)</f>
        <v/>
      </c>
      <c r="F425" s="44">
        <f>E425*SQRT(PARÂMETROS!B10)</f>
        <v/>
      </c>
      <c r="G425" s="44">
        <f>VaR_PARAMÉTRICO!B12*E425</f>
        <v/>
      </c>
      <c r="H425" s="57">
        <f>G425*PARÂMETROS!B24</f>
        <v/>
      </c>
    </row>
    <row r="426" ht="16" customHeight="1">
      <c r="A426" s="38" t="n">
        <v>45155</v>
      </c>
      <c r="B426" s="69">
        <f>RETORNOS_HIST!C426</f>
        <v/>
      </c>
      <c r="C426" s="42">
        <f>B426^2</f>
        <v/>
      </c>
      <c r="D426" s="42">
        <f>PARÂMETROS!B21*D425+(1-PARÂMETROS!B21)*C425</f>
        <v/>
      </c>
      <c r="E426" s="40">
        <f>SQRT(D426)</f>
        <v/>
      </c>
      <c r="F426" s="41">
        <f>E426*SQRT(PARÂMETROS!B10)</f>
        <v/>
      </c>
      <c r="G426" s="41">
        <f>VaR_PARAMÉTRICO!B12*E426</f>
        <v/>
      </c>
      <c r="H426" s="59">
        <f>G426*PARÂMETROS!B24</f>
        <v/>
      </c>
    </row>
    <row r="427" ht="16" customHeight="1">
      <c r="A427" s="35" t="n">
        <v>45156</v>
      </c>
      <c r="B427" s="68">
        <f>RETORNOS_HIST!C427</f>
        <v/>
      </c>
      <c r="C427" s="45">
        <f>B427^2</f>
        <v/>
      </c>
      <c r="D427" s="45">
        <f>PARÂMETROS!B21*D426+(1-PARÂMETROS!B21)*C426</f>
        <v/>
      </c>
      <c r="E427" s="43">
        <f>SQRT(D427)</f>
        <v/>
      </c>
      <c r="F427" s="44">
        <f>E427*SQRT(PARÂMETROS!B10)</f>
        <v/>
      </c>
      <c r="G427" s="44">
        <f>VaR_PARAMÉTRICO!B12*E427</f>
        <v/>
      </c>
      <c r="H427" s="57">
        <f>G427*PARÂMETROS!B24</f>
        <v/>
      </c>
    </row>
    <row r="428" ht="16" customHeight="1">
      <c r="A428" s="38" t="n">
        <v>45159</v>
      </c>
      <c r="B428" s="69">
        <f>RETORNOS_HIST!C428</f>
        <v/>
      </c>
      <c r="C428" s="42">
        <f>B428^2</f>
        <v/>
      </c>
      <c r="D428" s="42">
        <f>PARÂMETROS!B21*D427+(1-PARÂMETROS!B21)*C427</f>
        <v/>
      </c>
      <c r="E428" s="40">
        <f>SQRT(D428)</f>
        <v/>
      </c>
      <c r="F428" s="41">
        <f>E428*SQRT(PARÂMETROS!B10)</f>
        <v/>
      </c>
      <c r="G428" s="41">
        <f>VaR_PARAMÉTRICO!B12*E428</f>
        <v/>
      </c>
      <c r="H428" s="59">
        <f>G428*PARÂMETROS!B24</f>
        <v/>
      </c>
    </row>
    <row r="429" ht="16" customHeight="1">
      <c r="A429" s="35" t="n">
        <v>45160</v>
      </c>
      <c r="B429" s="68">
        <f>RETORNOS_HIST!C429</f>
        <v/>
      </c>
      <c r="C429" s="45">
        <f>B429^2</f>
        <v/>
      </c>
      <c r="D429" s="45">
        <f>PARÂMETROS!B21*D428+(1-PARÂMETROS!B21)*C428</f>
        <v/>
      </c>
      <c r="E429" s="43">
        <f>SQRT(D429)</f>
        <v/>
      </c>
      <c r="F429" s="44">
        <f>E429*SQRT(PARÂMETROS!B10)</f>
        <v/>
      </c>
      <c r="G429" s="44">
        <f>VaR_PARAMÉTRICO!B12*E429</f>
        <v/>
      </c>
      <c r="H429" s="57">
        <f>G429*PARÂMETROS!B24</f>
        <v/>
      </c>
    </row>
    <row r="430" ht="16" customHeight="1">
      <c r="A430" s="38" t="n">
        <v>45161</v>
      </c>
      <c r="B430" s="69">
        <f>RETORNOS_HIST!C430</f>
        <v/>
      </c>
      <c r="C430" s="42">
        <f>B430^2</f>
        <v/>
      </c>
      <c r="D430" s="42">
        <f>PARÂMETROS!B21*D429+(1-PARÂMETROS!B21)*C429</f>
        <v/>
      </c>
      <c r="E430" s="40">
        <f>SQRT(D430)</f>
        <v/>
      </c>
      <c r="F430" s="41">
        <f>E430*SQRT(PARÂMETROS!B10)</f>
        <v/>
      </c>
      <c r="G430" s="41">
        <f>VaR_PARAMÉTRICO!B12*E430</f>
        <v/>
      </c>
      <c r="H430" s="59">
        <f>G430*PARÂMETROS!B24</f>
        <v/>
      </c>
    </row>
    <row r="431" ht="16" customHeight="1">
      <c r="A431" s="35" t="n">
        <v>45162</v>
      </c>
      <c r="B431" s="68">
        <f>RETORNOS_HIST!C431</f>
        <v/>
      </c>
      <c r="C431" s="45">
        <f>B431^2</f>
        <v/>
      </c>
      <c r="D431" s="45">
        <f>PARÂMETROS!B21*D430+(1-PARÂMETROS!B21)*C430</f>
        <v/>
      </c>
      <c r="E431" s="43">
        <f>SQRT(D431)</f>
        <v/>
      </c>
      <c r="F431" s="44">
        <f>E431*SQRT(PARÂMETROS!B10)</f>
        <v/>
      </c>
      <c r="G431" s="44">
        <f>VaR_PARAMÉTRICO!B12*E431</f>
        <v/>
      </c>
      <c r="H431" s="57">
        <f>G431*PARÂMETROS!B24</f>
        <v/>
      </c>
    </row>
    <row r="432" ht="16" customHeight="1">
      <c r="A432" s="38" t="n">
        <v>45163</v>
      </c>
      <c r="B432" s="69">
        <f>RETORNOS_HIST!C432</f>
        <v/>
      </c>
      <c r="C432" s="42">
        <f>B432^2</f>
        <v/>
      </c>
      <c r="D432" s="42">
        <f>PARÂMETROS!B21*D431+(1-PARÂMETROS!B21)*C431</f>
        <v/>
      </c>
      <c r="E432" s="40">
        <f>SQRT(D432)</f>
        <v/>
      </c>
      <c r="F432" s="41">
        <f>E432*SQRT(PARÂMETROS!B10)</f>
        <v/>
      </c>
      <c r="G432" s="41">
        <f>VaR_PARAMÉTRICO!B12*E432</f>
        <v/>
      </c>
      <c r="H432" s="59">
        <f>G432*PARÂMETROS!B24</f>
        <v/>
      </c>
    </row>
    <row r="433" ht="16" customHeight="1">
      <c r="A433" s="35" t="n">
        <v>45166</v>
      </c>
      <c r="B433" s="68">
        <f>RETORNOS_HIST!C433</f>
        <v/>
      </c>
      <c r="C433" s="45">
        <f>B433^2</f>
        <v/>
      </c>
      <c r="D433" s="45">
        <f>PARÂMETROS!B21*D432+(1-PARÂMETROS!B21)*C432</f>
        <v/>
      </c>
      <c r="E433" s="43">
        <f>SQRT(D433)</f>
        <v/>
      </c>
      <c r="F433" s="44">
        <f>E433*SQRT(PARÂMETROS!B10)</f>
        <v/>
      </c>
      <c r="G433" s="44">
        <f>VaR_PARAMÉTRICO!B12*E433</f>
        <v/>
      </c>
      <c r="H433" s="57">
        <f>G433*PARÂMETROS!B24</f>
        <v/>
      </c>
    </row>
    <row r="434" ht="16" customHeight="1">
      <c r="A434" s="38" t="n">
        <v>45167</v>
      </c>
      <c r="B434" s="69">
        <f>RETORNOS_HIST!C434</f>
        <v/>
      </c>
      <c r="C434" s="42">
        <f>B434^2</f>
        <v/>
      </c>
      <c r="D434" s="42">
        <f>PARÂMETROS!B21*D433+(1-PARÂMETROS!B21)*C433</f>
        <v/>
      </c>
      <c r="E434" s="40">
        <f>SQRT(D434)</f>
        <v/>
      </c>
      <c r="F434" s="41">
        <f>E434*SQRT(PARÂMETROS!B10)</f>
        <v/>
      </c>
      <c r="G434" s="41">
        <f>VaR_PARAMÉTRICO!B12*E434</f>
        <v/>
      </c>
      <c r="H434" s="59">
        <f>G434*PARÂMETROS!B24</f>
        <v/>
      </c>
    </row>
    <row r="435" ht="16" customHeight="1">
      <c r="A435" s="35" t="n">
        <v>45168</v>
      </c>
      <c r="B435" s="68">
        <f>RETORNOS_HIST!C435</f>
        <v/>
      </c>
      <c r="C435" s="45">
        <f>B435^2</f>
        <v/>
      </c>
      <c r="D435" s="45">
        <f>PARÂMETROS!B21*D434+(1-PARÂMETROS!B21)*C434</f>
        <v/>
      </c>
      <c r="E435" s="43">
        <f>SQRT(D435)</f>
        <v/>
      </c>
      <c r="F435" s="44">
        <f>E435*SQRT(PARÂMETROS!B10)</f>
        <v/>
      </c>
      <c r="G435" s="44">
        <f>VaR_PARAMÉTRICO!B12*E435</f>
        <v/>
      </c>
      <c r="H435" s="57">
        <f>G435*PARÂMETROS!B24</f>
        <v/>
      </c>
    </row>
    <row r="436" ht="16" customHeight="1">
      <c r="A436" s="38" t="n">
        <v>45169</v>
      </c>
      <c r="B436" s="69">
        <f>RETORNOS_HIST!C436</f>
        <v/>
      </c>
      <c r="C436" s="42">
        <f>B436^2</f>
        <v/>
      </c>
      <c r="D436" s="42">
        <f>PARÂMETROS!B21*D435+(1-PARÂMETROS!B21)*C435</f>
        <v/>
      </c>
      <c r="E436" s="40">
        <f>SQRT(D436)</f>
        <v/>
      </c>
      <c r="F436" s="41">
        <f>E436*SQRT(PARÂMETROS!B10)</f>
        <v/>
      </c>
      <c r="G436" s="41">
        <f>VaR_PARAMÉTRICO!B12*E436</f>
        <v/>
      </c>
      <c r="H436" s="59">
        <f>G436*PARÂMETROS!B24</f>
        <v/>
      </c>
    </row>
    <row r="437" ht="16" customHeight="1">
      <c r="A437" s="35" t="n">
        <v>45170</v>
      </c>
      <c r="B437" s="68">
        <f>RETORNOS_HIST!C437</f>
        <v/>
      </c>
      <c r="C437" s="45">
        <f>B437^2</f>
        <v/>
      </c>
      <c r="D437" s="45">
        <f>PARÂMETROS!B21*D436+(1-PARÂMETROS!B21)*C436</f>
        <v/>
      </c>
      <c r="E437" s="43">
        <f>SQRT(D437)</f>
        <v/>
      </c>
      <c r="F437" s="44">
        <f>E437*SQRT(PARÂMETROS!B10)</f>
        <v/>
      </c>
      <c r="G437" s="44">
        <f>VaR_PARAMÉTRICO!B12*E437</f>
        <v/>
      </c>
      <c r="H437" s="57">
        <f>G437*PARÂMETROS!B24</f>
        <v/>
      </c>
    </row>
    <row r="438" ht="16" customHeight="1">
      <c r="A438" s="38" t="n">
        <v>45173</v>
      </c>
      <c r="B438" s="69">
        <f>RETORNOS_HIST!C438</f>
        <v/>
      </c>
      <c r="C438" s="42">
        <f>B438^2</f>
        <v/>
      </c>
      <c r="D438" s="42">
        <f>PARÂMETROS!B21*D437+(1-PARÂMETROS!B21)*C437</f>
        <v/>
      </c>
      <c r="E438" s="40">
        <f>SQRT(D438)</f>
        <v/>
      </c>
      <c r="F438" s="41">
        <f>E438*SQRT(PARÂMETROS!B10)</f>
        <v/>
      </c>
      <c r="G438" s="41">
        <f>VaR_PARAMÉTRICO!B12*E438</f>
        <v/>
      </c>
      <c r="H438" s="59">
        <f>G438*PARÂMETROS!B24</f>
        <v/>
      </c>
    </row>
    <row r="439" ht="16" customHeight="1">
      <c r="A439" s="35" t="n">
        <v>45174</v>
      </c>
      <c r="B439" s="68">
        <f>RETORNOS_HIST!C439</f>
        <v/>
      </c>
      <c r="C439" s="45">
        <f>B439^2</f>
        <v/>
      </c>
      <c r="D439" s="45">
        <f>PARÂMETROS!B21*D438+(1-PARÂMETROS!B21)*C438</f>
        <v/>
      </c>
      <c r="E439" s="43">
        <f>SQRT(D439)</f>
        <v/>
      </c>
      <c r="F439" s="44">
        <f>E439*SQRT(PARÂMETROS!B10)</f>
        <v/>
      </c>
      <c r="G439" s="44">
        <f>VaR_PARAMÉTRICO!B12*E439</f>
        <v/>
      </c>
      <c r="H439" s="57">
        <f>G439*PARÂMETROS!B24</f>
        <v/>
      </c>
    </row>
    <row r="440" ht="16" customHeight="1">
      <c r="A440" s="38" t="n">
        <v>45175</v>
      </c>
      <c r="B440" s="69">
        <f>RETORNOS_HIST!C440</f>
        <v/>
      </c>
      <c r="C440" s="42">
        <f>B440^2</f>
        <v/>
      </c>
      <c r="D440" s="42">
        <f>PARÂMETROS!B21*D439+(1-PARÂMETROS!B21)*C439</f>
        <v/>
      </c>
      <c r="E440" s="40">
        <f>SQRT(D440)</f>
        <v/>
      </c>
      <c r="F440" s="41">
        <f>E440*SQRT(PARÂMETROS!B10)</f>
        <v/>
      </c>
      <c r="G440" s="41">
        <f>VaR_PARAMÉTRICO!B12*E440</f>
        <v/>
      </c>
      <c r="H440" s="59">
        <f>G440*PARÂMETROS!B24</f>
        <v/>
      </c>
    </row>
    <row r="441" ht="16" customHeight="1">
      <c r="A441" s="35" t="n">
        <v>45176</v>
      </c>
      <c r="B441" s="68">
        <f>RETORNOS_HIST!C441</f>
        <v/>
      </c>
      <c r="C441" s="45">
        <f>B441^2</f>
        <v/>
      </c>
      <c r="D441" s="45">
        <f>PARÂMETROS!B21*D440+(1-PARÂMETROS!B21)*C440</f>
        <v/>
      </c>
      <c r="E441" s="43">
        <f>SQRT(D441)</f>
        <v/>
      </c>
      <c r="F441" s="44">
        <f>E441*SQRT(PARÂMETROS!B10)</f>
        <v/>
      </c>
      <c r="G441" s="44">
        <f>VaR_PARAMÉTRICO!B12*E441</f>
        <v/>
      </c>
      <c r="H441" s="57">
        <f>G441*PARÂMETROS!B24</f>
        <v/>
      </c>
    </row>
    <row r="442" ht="16" customHeight="1">
      <c r="A442" s="38" t="n">
        <v>45177</v>
      </c>
      <c r="B442" s="69">
        <f>RETORNOS_HIST!C442</f>
        <v/>
      </c>
      <c r="C442" s="42">
        <f>B442^2</f>
        <v/>
      </c>
      <c r="D442" s="42">
        <f>PARÂMETROS!B21*D441+(1-PARÂMETROS!B21)*C441</f>
        <v/>
      </c>
      <c r="E442" s="40">
        <f>SQRT(D442)</f>
        <v/>
      </c>
      <c r="F442" s="41">
        <f>E442*SQRT(PARÂMETROS!B10)</f>
        <v/>
      </c>
      <c r="G442" s="41">
        <f>VaR_PARAMÉTRICO!B12*E442</f>
        <v/>
      </c>
      <c r="H442" s="59">
        <f>G442*PARÂMETROS!B24</f>
        <v/>
      </c>
    </row>
    <row r="443" ht="16" customHeight="1">
      <c r="A443" s="35" t="n">
        <v>45180</v>
      </c>
      <c r="B443" s="68">
        <f>RETORNOS_HIST!C443</f>
        <v/>
      </c>
      <c r="C443" s="45">
        <f>B443^2</f>
        <v/>
      </c>
      <c r="D443" s="45">
        <f>PARÂMETROS!B21*D442+(1-PARÂMETROS!B21)*C442</f>
        <v/>
      </c>
      <c r="E443" s="43">
        <f>SQRT(D443)</f>
        <v/>
      </c>
      <c r="F443" s="44">
        <f>E443*SQRT(PARÂMETROS!B10)</f>
        <v/>
      </c>
      <c r="G443" s="44">
        <f>VaR_PARAMÉTRICO!B12*E443</f>
        <v/>
      </c>
      <c r="H443" s="57">
        <f>G443*PARÂMETROS!B24</f>
        <v/>
      </c>
    </row>
    <row r="444" ht="16" customHeight="1">
      <c r="A444" s="38" t="n">
        <v>45181</v>
      </c>
      <c r="B444" s="69">
        <f>RETORNOS_HIST!C444</f>
        <v/>
      </c>
      <c r="C444" s="42">
        <f>B444^2</f>
        <v/>
      </c>
      <c r="D444" s="42">
        <f>PARÂMETROS!B21*D443+(1-PARÂMETROS!B21)*C443</f>
        <v/>
      </c>
      <c r="E444" s="40">
        <f>SQRT(D444)</f>
        <v/>
      </c>
      <c r="F444" s="41">
        <f>E444*SQRT(PARÂMETROS!B10)</f>
        <v/>
      </c>
      <c r="G444" s="41">
        <f>VaR_PARAMÉTRICO!B12*E444</f>
        <v/>
      </c>
      <c r="H444" s="59">
        <f>G444*PARÂMETROS!B24</f>
        <v/>
      </c>
    </row>
    <row r="445" ht="16" customHeight="1">
      <c r="A445" s="35" t="n">
        <v>45182</v>
      </c>
      <c r="B445" s="68">
        <f>RETORNOS_HIST!C445</f>
        <v/>
      </c>
      <c r="C445" s="45">
        <f>B445^2</f>
        <v/>
      </c>
      <c r="D445" s="45">
        <f>PARÂMETROS!B21*D444+(1-PARÂMETROS!B21)*C444</f>
        <v/>
      </c>
      <c r="E445" s="43">
        <f>SQRT(D445)</f>
        <v/>
      </c>
      <c r="F445" s="44">
        <f>E445*SQRT(PARÂMETROS!B10)</f>
        <v/>
      </c>
      <c r="G445" s="44">
        <f>VaR_PARAMÉTRICO!B12*E445</f>
        <v/>
      </c>
      <c r="H445" s="57">
        <f>G445*PARÂMETROS!B24</f>
        <v/>
      </c>
    </row>
    <row r="446" ht="16" customHeight="1">
      <c r="A446" s="38" t="n">
        <v>45183</v>
      </c>
      <c r="B446" s="69">
        <f>RETORNOS_HIST!C446</f>
        <v/>
      </c>
      <c r="C446" s="42">
        <f>B446^2</f>
        <v/>
      </c>
      <c r="D446" s="42">
        <f>PARÂMETROS!B21*D445+(1-PARÂMETROS!B21)*C445</f>
        <v/>
      </c>
      <c r="E446" s="40">
        <f>SQRT(D446)</f>
        <v/>
      </c>
      <c r="F446" s="41">
        <f>E446*SQRT(PARÂMETROS!B10)</f>
        <v/>
      </c>
      <c r="G446" s="41">
        <f>VaR_PARAMÉTRICO!B12*E446</f>
        <v/>
      </c>
      <c r="H446" s="59">
        <f>G446*PARÂMETROS!B24</f>
        <v/>
      </c>
    </row>
    <row r="447" ht="16" customHeight="1">
      <c r="A447" s="35" t="n">
        <v>45184</v>
      </c>
      <c r="B447" s="68">
        <f>RETORNOS_HIST!C447</f>
        <v/>
      </c>
      <c r="C447" s="45">
        <f>B447^2</f>
        <v/>
      </c>
      <c r="D447" s="45">
        <f>PARÂMETROS!B21*D446+(1-PARÂMETROS!B21)*C446</f>
        <v/>
      </c>
      <c r="E447" s="43">
        <f>SQRT(D447)</f>
        <v/>
      </c>
      <c r="F447" s="44">
        <f>E447*SQRT(PARÂMETROS!B10)</f>
        <v/>
      </c>
      <c r="G447" s="44">
        <f>VaR_PARAMÉTRICO!B12*E447</f>
        <v/>
      </c>
      <c r="H447" s="57">
        <f>G447*PARÂMETROS!B24</f>
        <v/>
      </c>
    </row>
    <row r="448" ht="16" customHeight="1">
      <c r="A448" s="38" t="n">
        <v>45187</v>
      </c>
      <c r="B448" s="69">
        <f>RETORNOS_HIST!C448</f>
        <v/>
      </c>
      <c r="C448" s="42">
        <f>B448^2</f>
        <v/>
      </c>
      <c r="D448" s="42">
        <f>PARÂMETROS!B21*D447+(1-PARÂMETROS!B21)*C447</f>
        <v/>
      </c>
      <c r="E448" s="40">
        <f>SQRT(D448)</f>
        <v/>
      </c>
      <c r="F448" s="41">
        <f>E448*SQRT(PARÂMETROS!B10)</f>
        <v/>
      </c>
      <c r="G448" s="41">
        <f>VaR_PARAMÉTRICO!B12*E448</f>
        <v/>
      </c>
      <c r="H448" s="59">
        <f>G448*PARÂMETROS!B24</f>
        <v/>
      </c>
    </row>
    <row r="449" ht="16" customHeight="1">
      <c r="A449" s="35" t="n">
        <v>45188</v>
      </c>
      <c r="B449" s="68">
        <f>RETORNOS_HIST!C449</f>
        <v/>
      </c>
      <c r="C449" s="45">
        <f>B449^2</f>
        <v/>
      </c>
      <c r="D449" s="45">
        <f>PARÂMETROS!B21*D448+(1-PARÂMETROS!B21)*C448</f>
        <v/>
      </c>
      <c r="E449" s="43">
        <f>SQRT(D449)</f>
        <v/>
      </c>
      <c r="F449" s="44">
        <f>E449*SQRT(PARÂMETROS!B10)</f>
        <v/>
      </c>
      <c r="G449" s="44">
        <f>VaR_PARAMÉTRICO!B12*E449</f>
        <v/>
      </c>
      <c r="H449" s="57">
        <f>G449*PARÂMETROS!B24</f>
        <v/>
      </c>
    </row>
    <row r="450" ht="16" customHeight="1">
      <c r="A450" s="38" t="n">
        <v>45189</v>
      </c>
      <c r="B450" s="69">
        <f>RETORNOS_HIST!C450</f>
        <v/>
      </c>
      <c r="C450" s="42">
        <f>B450^2</f>
        <v/>
      </c>
      <c r="D450" s="42">
        <f>PARÂMETROS!B21*D449+(1-PARÂMETROS!B21)*C449</f>
        <v/>
      </c>
      <c r="E450" s="40">
        <f>SQRT(D450)</f>
        <v/>
      </c>
      <c r="F450" s="41">
        <f>E450*SQRT(PARÂMETROS!B10)</f>
        <v/>
      </c>
      <c r="G450" s="41">
        <f>VaR_PARAMÉTRICO!B12*E450</f>
        <v/>
      </c>
      <c r="H450" s="59">
        <f>G450*PARÂMETROS!B24</f>
        <v/>
      </c>
    </row>
    <row r="451" ht="16" customHeight="1">
      <c r="A451" s="35" t="n">
        <v>45190</v>
      </c>
      <c r="B451" s="68">
        <f>RETORNOS_HIST!C451</f>
        <v/>
      </c>
      <c r="C451" s="45">
        <f>B451^2</f>
        <v/>
      </c>
      <c r="D451" s="45">
        <f>PARÂMETROS!B21*D450+(1-PARÂMETROS!B21)*C450</f>
        <v/>
      </c>
      <c r="E451" s="43">
        <f>SQRT(D451)</f>
        <v/>
      </c>
      <c r="F451" s="44">
        <f>E451*SQRT(PARÂMETROS!B10)</f>
        <v/>
      </c>
      <c r="G451" s="44">
        <f>VaR_PARAMÉTRICO!B12*E451</f>
        <v/>
      </c>
      <c r="H451" s="57">
        <f>G451*PARÂMETROS!B24</f>
        <v/>
      </c>
    </row>
    <row r="452" ht="16" customHeight="1">
      <c r="A452" s="38" t="n">
        <v>45191</v>
      </c>
      <c r="B452" s="69">
        <f>RETORNOS_HIST!C452</f>
        <v/>
      </c>
      <c r="C452" s="42">
        <f>B452^2</f>
        <v/>
      </c>
      <c r="D452" s="42">
        <f>PARÂMETROS!B21*D451+(1-PARÂMETROS!B21)*C451</f>
        <v/>
      </c>
      <c r="E452" s="40">
        <f>SQRT(D452)</f>
        <v/>
      </c>
      <c r="F452" s="41">
        <f>E452*SQRT(PARÂMETROS!B10)</f>
        <v/>
      </c>
      <c r="G452" s="41">
        <f>VaR_PARAMÉTRICO!B12*E452</f>
        <v/>
      </c>
      <c r="H452" s="59">
        <f>G452*PARÂMETROS!B24</f>
        <v/>
      </c>
    </row>
    <row r="453" ht="16" customHeight="1">
      <c r="A453" s="35" t="n">
        <v>45194</v>
      </c>
      <c r="B453" s="68">
        <f>RETORNOS_HIST!C453</f>
        <v/>
      </c>
      <c r="C453" s="45">
        <f>B453^2</f>
        <v/>
      </c>
      <c r="D453" s="45">
        <f>PARÂMETROS!B21*D452+(1-PARÂMETROS!B21)*C452</f>
        <v/>
      </c>
      <c r="E453" s="43">
        <f>SQRT(D453)</f>
        <v/>
      </c>
      <c r="F453" s="44">
        <f>E453*SQRT(PARÂMETROS!B10)</f>
        <v/>
      </c>
      <c r="G453" s="44">
        <f>VaR_PARAMÉTRICO!B12*E453</f>
        <v/>
      </c>
      <c r="H453" s="57">
        <f>G453*PARÂMETROS!B24</f>
        <v/>
      </c>
    </row>
    <row r="454" ht="16" customHeight="1">
      <c r="A454" s="38" t="n">
        <v>45195</v>
      </c>
      <c r="B454" s="69">
        <f>RETORNOS_HIST!C454</f>
        <v/>
      </c>
      <c r="C454" s="42">
        <f>B454^2</f>
        <v/>
      </c>
      <c r="D454" s="42">
        <f>PARÂMETROS!B21*D453+(1-PARÂMETROS!B21)*C453</f>
        <v/>
      </c>
      <c r="E454" s="40">
        <f>SQRT(D454)</f>
        <v/>
      </c>
      <c r="F454" s="41">
        <f>E454*SQRT(PARÂMETROS!B10)</f>
        <v/>
      </c>
      <c r="G454" s="41">
        <f>VaR_PARAMÉTRICO!B12*E454</f>
        <v/>
      </c>
      <c r="H454" s="59">
        <f>G454*PARÂMETROS!B24</f>
        <v/>
      </c>
    </row>
    <row r="455" ht="16" customHeight="1">
      <c r="A455" s="35" t="n">
        <v>45196</v>
      </c>
      <c r="B455" s="68">
        <f>RETORNOS_HIST!C455</f>
        <v/>
      </c>
      <c r="C455" s="45">
        <f>B455^2</f>
        <v/>
      </c>
      <c r="D455" s="45">
        <f>PARÂMETROS!B21*D454+(1-PARÂMETROS!B21)*C454</f>
        <v/>
      </c>
      <c r="E455" s="43">
        <f>SQRT(D455)</f>
        <v/>
      </c>
      <c r="F455" s="44">
        <f>E455*SQRT(PARÂMETROS!B10)</f>
        <v/>
      </c>
      <c r="G455" s="44">
        <f>VaR_PARAMÉTRICO!B12*E455</f>
        <v/>
      </c>
      <c r="H455" s="57">
        <f>G455*PARÂMETROS!B24</f>
        <v/>
      </c>
    </row>
    <row r="456" ht="16" customHeight="1">
      <c r="A456" s="38" t="n">
        <v>45197</v>
      </c>
      <c r="B456" s="69">
        <f>RETORNOS_HIST!C456</f>
        <v/>
      </c>
      <c r="C456" s="42">
        <f>B456^2</f>
        <v/>
      </c>
      <c r="D456" s="42">
        <f>PARÂMETROS!B21*D455+(1-PARÂMETROS!B21)*C455</f>
        <v/>
      </c>
      <c r="E456" s="40">
        <f>SQRT(D456)</f>
        <v/>
      </c>
      <c r="F456" s="41">
        <f>E456*SQRT(PARÂMETROS!B10)</f>
        <v/>
      </c>
      <c r="G456" s="41">
        <f>VaR_PARAMÉTRICO!B12*E456</f>
        <v/>
      </c>
      <c r="H456" s="59">
        <f>G456*PARÂMETROS!B24</f>
        <v/>
      </c>
    </row>
    <row r="457" ht="16" customHeight="1">
      <c r="A457" s="35" t="n">
        <v>45198</v>
      </c>
      <c r="B457" s="68">
        <f>RETORNOS_HIST!C457</f>
        <v/>
      </c>
      <c r="C457" s="45">
        <f>B457^2</f>
        <v/>
      </c>
      <c r="D457" s="45">
        <f>PARÂMETROS!B21*D456+(1-PARÂMETROS!B21)*C456</f>
        <v/>
      </c>
      <c r="E457" s="43">
        <f>SQRT(D457)</f>
        <v/>
      </c>
      <c r="F457" s="44">
        <f>E457*SQRT(PARÂMETROS!B10)</f>
        <v/>
      </c>
      <c r="G457" s="44">
        <f>VaR_PARAMÉTRICO!B12*E457</f>
        <v/>
      </c>
      <c r="H457" s="57">
        <f>G457*PARÂMETROS!B24</f>
        <v/>
      </c>
    </row>
    <row r="458" ht="16" customHeight="1">
      <c r="A458" s="38" t="n">
        <v>45201</v>
      </c>
      <c r="B458" s="69">
        <f>RETORNOS_HIST!C458</f>
        <v/>
      </c>
      <c r="C458" s="42">
        <f>B458^2</f>
        <v/>
      </c>
      <c r="D458" s="42">
        <f>PARÂMETROS!B21*D457+(1-PARÂMETROS!B21)*C457</f>
        <v/>
      </c>
      <c r="E458" s="40">
        <f>SQRT(D458)</f>
        <v/>
      </c>
      <c r="F458" s="41">
        <f>E458*SQRT(PARÂMETROS!B10)</f>
        <v/>
      </c>
      <c r="G458" s="41">
        <f>VaR_PARAMÉTRICO!B12*E458</f>
        <v/>
      </c>
      <c r="H458" s="59">
        <f>G458*PARÂMETROS!B24</f>
        <v/>
      </c>
    </row>
    <row r="459" ht="16" customHeight="1">
      <c r="A459" s="35" t="n">
        <v>45202</v>
      </c>
      <c r="B459" s="68">
        <f>RETORNOS_HIST!C459</f>
        <v/>
      </c>
      <c r="C459" s="45">
        <f>B459^2</f>
        <v/>
      </c>
      <c r="D459" s="45">
        <f>PARÂMETROS!B21*D458+(1-PARÂMETROS!B21)*C458</f>
        <v/>
      </c>
      <c r="E459" s="43">
        <f>SQRT(D459)</f>
        <v/>
      </c>
      <c r="F459" s="44">
        <f>E459*SQRT(PARÂMETROS!B10)</f>
        <v/>
      </c>
      <c r="G459" s="44">
        <f>VaR_PARAMÉTRICO!B12*E459</f>
        <v/>
      </c>
      <c r="H459" s="57">
        <f>G459*PARÂMETROS!B24</f>
        <v/>
      </c>
    </row>
    <row r="460" ht="16" customHeight="1">
      <c r="A460" s="38" t="n">
        <v>45203</v>
      </c>
      <c r="B460" s="69">
        <f>RETORNOS_HIST!C460</f>
        <v/>
      </c>
      <c r="C460" s="42">
        <f>B460^2</f>
        <v/>
      </c>
      <c r="D460" s="42">
        <f>PARÂMETROS!B21*D459+(1-PARÂMETROS!B21)*C459</f>
        <v/>
      </c>
      <c r="E460" s="40">
        <f>SQRT(D460)</f>
        <v/>
      </c>
      <c r="F460" s="41">
        <f>E460*SQRT(PARÂMETROS!B10)</f>
        <v/>
      </c>
      <c r="G460" s="41">
        <f>VaR_PARAMÉTRICO!B12*E460</f>
        <v/>
      </c>
      <c r="H460" s="59">
        <f>G460*PARÂMETROS!B24</f>
        <v/>
      </c>
    </row>
    <row r="461" ht="16" customHeight="1">
      <c r="A461" s="35" t="n">
        <v>45204</v>
      </c>
      <c r="B461" s="68">
        <f>RETORNOS_HIST!C461</f>
        <v/>
      </c>
      <c r="C461" s="45">
        <f>B461^2</f>
        <v/>
      </c>
      <c r="D461" s="45">
        <f>PARÂMETROS!B21*D460+(1-PARÂMETROS!B21)*C460</f>
        <v/>
      </c>
      <c r="E461" s="43">
        <f>SQRT(D461)</f>
        <v/>
      </c>
      <c r="F461" s="44">
        <f>E461*SQRT(PARÂMETROS!B10)</f>
        <v/>
      </c>
      <c r="G461" s="44">
        <f>VaR_PARAMÉTRICO!B12*E461</f>
        <v/>
      </c>
      <c r="H461" s="57">
        <f>G461*PARÂMETROS!B24</f>
        <v/>
      </c>
    </row>
    <row r="462" ht="16" customHeight="1">
      <c r="A462" s="38" t="n">
        <v>45205</v>
      </c>
      <c r="B462" s="69">
        <f>RETORNOS_HIST!C462</f>
        <v/>
      </c>
      <c r="C462" s="42">
        <f>B462^2</f>
        <v/>
      </c>
      <c r="D462" s="42">
        <f>PARÂMETROS!B21*D461+(1-PARÂMETROS!B21)*C461</f>
        <v/>
      </c>
      <c r="E462" s="40">
        <f>SQRT(D462)</f>
        <v/>
      </c>
      <c r="F462" s="41">
        <f>E462*SQRT(PARÂMETROS!B10)</f>
        <v/>
      </c>
      <c r="G462" s="41">
        <f>VaR_PARAMÉTRICO!B12*E462</f>
        <v/>
      </c>
      <c r="H462" s="59">
        <f>G462*PARÂMETROS!B24</f>
        <v/>
      </c>
    </row>
    <row r="463" ht="16" customHeight="1">
      <c r="A463" s="35" t="n">
        <v>45208</v>
      </c>
      <c r="B463" s="68">
        <f>RETORNOS_HIST!C463</f>
        <v/>
      </c>
      <c r="C463" s="45">
        <f>B463^2</f>
        <v/>
      </c>
      <c r="D463" s="45">
        <f>PARÂMETROS!B21*D462+(1-PARÂMETROS!B21)*C462</f>
        <v/>
      </c>
      <c r="E463" s="43">
        <f>SQRT(D463)</f>
        <v/>
      </c>
      <c r="F463" s="44">
        <f>E463*SQRT(PARÂMETROS!B10)</f>
        <v/>
      </c>
      <c r="G463" s="44">
        <f>VaR_PARAMÉTRICO!B12*E463</f>
        <v/>
      </c>
      <c r="H463" s="57">
        <f>G463*PARÂMETROS!B24</f>
        <v/>
      </c>
    </row>
    <row r="464" ht="16" customHeight="1">
      <c r="A464" s="38" t="n">
        <v>45209</v>
      </c>
      <c r="B464" s="69">
        <f>RETORNOS_HIST!C464</f>
        <v/>
      </c>
      <c r="C464" s="42">
        <f>B464^2</f>
        <v/>
      </c>
      <c r="D464" s="42">
        <f>PARÂMETROS!B21*D463+(1-PARÂMETROS!B21)*C463</f>
        <v/>
      </c>
      <c r="E464" s="40">
        <f>SQRT(D464)</f>
        <v/>
      </c>
      <c r="F464" s="41">
        <f>E464*SQRT(PARÂMETROS!B10)</f>
        <v/>
      </c>
      <c r="G464" s="41">
        <f>VaR_PARAMÉTRICO!B12*E464</f>
        <v/>
      </c>
      <c r="H464" s="59">
        <f>G464*PARÂMETROS!B24</f>
        <v/>
      </c>
    </row>
    <row r="465" ht="16" customHeight="1">
      <c r="A465" s="35" t="n">
        <v>45210</v>
      </c>
      <c r="B465" s="68">
        <f>RETORNOS_HIST!C465</f>
        <v/>
      </c>
      <c r="C465" s="45">
        <f>B465^2</f>
        <v/>
      </c>
      <c r="D465" s="45">
        <f>PARÂMETROS!B21*D464+(1-PARÂMETROS!B21)*C464</f>
        <v/>
      </c>
      <c r="E465" s="43">
        <f>SQRT(D465)</f>
        <v/>
      </c>
      <c r="F465" s="44">
        <f>E465*SQRT(PARÂMETROS!B10)</f>
        <v/>
      </c>
      <c r="G465" s="44">
        <f>VaR_PARAMÉTRICO!B12*E465</f>
        <v/>
      </c>
      <c r="H465" s="57">
        <f>G465*PARÂMETROS!B24</f>
        <v/>
      </c>
    </row>
    <row r="466" ht="16" customHeight="1">
      <c r="A466" s="38" t="n">
        <v>45211</v>
      </c>
      <c r="B466" s="69">
        <f>RETORNOS_HIST!C466</f>
        <v/>
      </c>
      <c r="C466" s="42">
        <f>B466^2</f>
        <v/>
      </c>
      <c r="D466" s="42">
        <f>PARÂMETROS!B21*D465+(1-PARÂMETROS!B21)*C465</f>
        <v/>
      </c>
      <c r="E466" s="40">
        <f>SQRT(D466)</f>
        <v/>
      </c>
      <c r="F466" s="41">
        <f>E466*SQRT(PARÂMETROS!B10)</f>
        <v/>
      </c>
      <c r="G466" s="41">
        <f>VaR_PARAMÉTRICO!B12*E466</f>
        <v/>
      </c>
      <c r="H466" s="59">
        <f>G466*PARÂMETROS!B24</f>
        <v/>
      </c>
    </row>
    <row r="467" ht="16" customHeight="1">
      <c r="A467" s="35" t="n">
        <v>45212</v>
      </c>
      <c r="B467" s="68">
        <f>RETORNOS_HIST!C467</f>
        <v/>
      </c>
      <c r="C467" s="45">
        <f>B467^2</f>
        <v/>
      </c>
      <c r="D467" s="45">
        <f>PARÂMETROS!B21*D466+(1-PARÂMETROS!B21)*C466</f>
        <v/>
      </c>
      <c r="E467" s="43">
        <f>SQRT(D467)</f>
        <v/>
      </c>
      <c r="F467" s="44">
        <f>E467*SQRT(PARÂMETROS!B10)</f>
        <v/>
      </c>
      <c r="G467" s="44">
        <f>VaR_PARAMÉTRICO!B12*E467</f>
        <v/>
      </c>
      <c r="H467" s="57">
        <f>G467*PARÂMETROS!B24</f>
        <v/>
      </c>
    </row>
    <row r="468" ht="16" customHeight="1">
      <c r="A468" s="38" t="n">
        <v>45215</v>
      </c>
      <c r="B468" s="69">
        <f>RETORNOS_HIST!C468</f>
        <v/>
      </c>
      <c r="C468" s="42">
        <f>B468^2</f>
        <v/>
      </c>
      <c r="D468" s="42">
        <f>PARÂMETROS!B21*D467+(1-PARÂMETROS!B21)*C467</f>
        <v/>
      </c>
      <c r="E468" s="40">
        <f>SQRT(D468)</f>
        <v/>
      </c>
      <c r="F468" s="41">
        <f>E468*SQRT(PARÂMETROS!B10)</f>
        <v/>
      </c>
      <c r="G468" s="41">
        <f>VaR_PARAMÉTRICO!B12*E468</f>
        <v/>
      </c>
      <c r="H468" s="59">
        <f>G468*PARÂMETROS!B24</f>
        <v/>
      </c>
    </row>
    <row r="469" ht="16" customHeight="1">
      <c r="A469" s="35" t="n">
        <v>45216</v>
      </c>
      <c r="B469" s="68">
        <f>RETORNOS_HIST!C469</f>
        <v/>
      </c>
      <c r="C469" s="45">
        <f>B469^2</f>
        <v/>
      </c>
      <c r="D469" s="45">
        <f>PARÂMETROS!B21*D468+(1-PARÂMETROS!B21)*C468</f>
        <v/>
      </c>
      <c r="E469" s="43">
        <f>SQRT(D469)</f>
        <v/>
      </c>
      <c r="F469" s="44">
        <f>E469*SQRT(PARÂMETROS!B10)</f>
        <v/>
      </c>
      <c r="G469" s="44">
        <f>VaR_PARAMÉTRICO!B12*E469</f>
        <v/>
      </c>
      <c r="H469" s="57">
        <f>G469*PARÂMETROS!B24</f>
        <v/>
      </c>
    </row>
    <row r="470" ht="16" customHeight="1">
      <c r="A470" s="38" t="n">
        <v>45217</v>
      </c>
      <c r="B470" s="69">
        <f>RETORNOS_HIST!C470</f>
        <v/>
      </c>
      <c r="C470" s="42">
        <f>B470^2</f>
        <v/>
      </c>
      <c r="D470" s="42">
        <f>PARÂMETROS!B21*D469+(1-PARÂMETROS!B21)*C469</f>
        <v/>
      </c>
      <c r="E470" s="40">
        <f>SQRT(D470)</f>
        <v/>
      </c>
      <c r="F470" s="41">
        <f>E470*SQRT(PARÂMETROS!B10)</f>
        <v/>
      </c>
      <c r="G470" s="41">
        <f>VaR_PARAMÉTRICO!B12*E470</f>
        <v/>
      </c>
      <c r="H470" s="59">
        <f>G470*PARÂMETROS!B24</f>
        <v/>
      </c>
    </row>
    <row r="471" ht="16" customHeight="1">
      <c r="A471" s="35" t="n">
        <v>45218</v>
      </c>
      <c r="B471" s="68">
        <f>RETORNOS_HIST!C471</f>
        <v/>
      </c>
      <c r="C471" s="45">
        <f>B471^2</f>
        <v/>
      </c>
      <c r="D471" s="45">
        <f>PARÂMETROS!B21*D470+(1-PARÂMETROS!B21)*C470</f>
        <v/>
      </c>
      <c r="E471" s="43">
        <f>SQRT(D471)</f>
        <v/>
      </c>
      <c r="F471" s="44">
        <f>E471*SQRT(PARÂMETROS!B10)</f>
        <v/>
      </c>
      <c r="G471" s="44">
        <f>VaR_PARAMÉTRICO!B12*E471</f>
        <v/>
      </c>
      <c r="H471" s="57">
        <f>G471*PARÂMETROS!B24</f>
        <v/>
      </c>
    </row>
    <row r="472" ht="16" customHeight="1">
      <c r="A472" s="38" t="n">
        <v>45219</v>
      </c>
      <c r="B472" s="69">
        <f>RETORNOS_HIST!C472</f>
        <v/>
      </c>
      <c r="C472" s="42">
        <f>B472^2</f>
        <v/>
      </c>
      <c r="D472" s="42">
        <f>PARÂMETROS!B21*D471+(1-PARÂMETROS!B21)*C471</f>
        <v/>
      </c>
      <c r="E472" s="40">
        <f>SQRT(D472)</f>
        <v/>
      </c>
      <c r="F472" s="41">
        <f>E472*SQRT(PARÂMETROS!B10)</f>
        <v/>
      </c>
      <c r="G472" s="41">
        <f>VaR_PARAMÉTRICO!B12*E472</f>
        <v/>
      </c>
      <c r="H472" s="59">
        <f>G472*PARÂMETROS!B24</f>
        <v/>
      </c>
    </row>
    <row r="473" ht="16" customHeight="1">
      <c r="A473" s="35" t="n">
        <v>45222</v>
      </c>
      <c r="B473" s="68">
        <f>RETORNOS_HIST!C473</f>
        <v/>
      </c>
      <c r="C473" s="45">
        <f>B473^2</f>
        <v/>
      </c>
      <c r="D473" s="45">
        <f>PARÂMETROS!B21*D472+(1-PARÂMETROS!B21)*C472</f>
        <v/>
      </c>
      <c r="E473" s="43">
        <f>SQRT(D473)</f>
        <v/>
      </c>
      <c r="F473" s="44">
        <f>E473*SQRT(PARÂMETROS!B10)</f>
        <v/>
      </c>
      <c r="G473" s="44">
        <f>VaR_PARAMÉTRICO!B12*E473</f>
        <v/>
      </c>
      <c r="H473" s="57">
        <f>G473*PARÂMETROS!B24</f>
        <v/>
      </c>
    </row>
    <row r="474" ht="16" customHeight="1">
      <c r="A474" s="38" t="n">
        <v>45223</v>
      </c>
      <c r="B474" s="69">
        <f>RETORNOS_HIST!C474</f>
        <v/>
      </c>
      <c r="C474" s="42">
        <f>B474^2</f>
        <v/>
      </c>
      <c r="D474" s="42">
        <f>PARÂMETROS!B21*D473+(1-PARÂMETROS!B21)*C473</f>
        <v/>
      </c>
      <c r="E474" s="40">
        <f>SQRT(D474)</f>
        <v/>
      </c>
      <c r="F474" s="41">
        <f>E474*SQRT(PARÂMETROS!B10)</f>
        <v/>
      </c>
      <c r="G474" s="41">
        <f>VaR_PARAMÉTRICO!B12*E474</f>
        <v/>
      </c>
      <c r="H474" s="59">
        <f>G474*PARÂMETROS!B24</f>
        <v/>
      </c>
    </row>
    <row r="475" ht="16" customHeight="1">
      <c r="A475" s="35" t="n">
        <v>45224</v>
      </c>
      <c r="B475" s="68">
        <f>RETORNOS_HIST!C475</f>
        <v/>
      </c>
      <c r="C475" s="45">
        <f>B475^2</f>
        <v/>
      </c>
      <c r="D475" s="45">
        <f>PARÂMETROS!B21*D474+(1-PARÂMETROS!B21)*C474</f>
        <v/>
      </c>
      <c r="E475" s="43">
        <f>SQRT(D475)</f>
        <v/>
      </c>
      <c r="F475" s="44">
        <f>E475*SQRT(PARÂMETROS!B10)</f>
        <v/>
      </c>
      <c r="G475" s="44">
        <f>VaR_PARAMÉTRICO!B12*E475</f>
        <v/>
      </c>
      <c r="H475" s="57">
        <f>G475*PARÂMETROS!B24</f>
        <v/>
      </c>
    </row>
    <row r="476" ht="16" customHeight="1">
      <c r="A476" s="38" t="n">
        <v>45225</v>
      </c>
      <c r="B476" s="69">
        <f>RETORNOS_HIST!C476</f>
        <v/>
      </c>
      <c r="C476" s="42">
        <f>B476^2</f>
        <v/>
      </c>
      <c r="D476" s="42">
        <f>PARÂMETROS!B21*D475+(1-PARÂMETROS!B21)*C475</f>
        <v/>
      </c>
      <c r="E476" s="40">
        <f>SQRT(D476)</f>
        <v/>
      </c>
      <c r="F476" s="41">
        <f>E476*SQRT(PARÂMETROS!B10)</f>
        <v/>
      </c>
      <c r="G476" s="41">
        <f>VaR_PARAMÉTRICO!B12*E476</f>
        <v/>
      </c>
      <c r="H476" s="59">
        <f>G476*PARÂMETROS!B24</f>
        <v/>
      </c>
    </row>
    <row r="477" ht="16" customHeight="1">
      <c r="A477" s="35" t="n">
        <v>45226</v>
      </c>
      <c r="B477" s="68">
        <f>RETORNOS_HIST!C477</f>
        <v/>
      </c>
      <c r="C477" s="45">
        <f>B477^2</f>
        <v/>
      </c>
      <c r="D477" s="45">
        <f>PARÂMETROS!B21*D476+(1-PARÂMETROS!B21)*C476</f>
        <v/>
      </c>
      <c r="E477" s="43">
        <f>SQRT(D477)</f>
        <v/>
      </c>
      <c r="F477" s="44">
        <f>E477*SQRT(PARÂMETROS!B10)</f>
        <v/>
      </c>
      <c r="G477" s="44">
        <f>VaR_PARAMÉTRICO!B12*E477</f>
        <v/>
      </c>
      <c r="H477" s="57">
        <f>G477*PARÂMETROS!B24</f>
        <v/>
      </c>
    </row>
    <row r="478" ht="16" customHeight="1">
      <c r="A478" s="38" t="n">
        <v>45229</v>
      </c>
      <c r="B478" s="69">
        <f>RETORNOS_HIST!C478</f>
        <v/>
      </c>
      <c r="C478" s="42">
        <f>B478^2</f>
        <v/>
      </c>
      <c r="D478" s="42">
        <f>PARÂMETROS!B21*D477+(1-PARÂMETROS!B21)*C477</f>
        <v/>
      </c>
      <c r="E478" s="40">
        <f>SQRT(D478)</f>
        <v/>
      </c>
      <c r="F478" s="41">
        <f>E478*SQRT(PARÂMETROS!B10)</f>
        <v/>
      </c>
      <c r="G478" s="41">
        <f>VaR_PARAMÉTRICO!B12*E478</f>
        <v/>
      </c>
      <c r="H478" s="59">
        <f>G478*PARÂMETROS!B24</f>
        <v/>
      </c>
    </row>
    <row r="479" ht="16" customHeight="1">
      <c r="A479" s="35" t="n">
        <v>45230</v>
      </c>
      <c r="B479" s="68">
        <f>RETORNOS_HIST!C479</f>
        <v/>
      </c>
      <c r="C479" s="45">
        <f>B479^2</f>
        <v/>
      </c>
      <c r="D479" s="45">
        <f>PARÂMETROS!B21*D478+(1-PARÂMETROS!B21)*C478</f>
        <v/>
      </c>
      <c r="E479" s="43">
        <f>SQRT(D479)</f>
        <v/>
      </c>
      <c r="F479" s="44">
        <f>E479*SQRT(PARÂMETROS!B10)</f>
        <v/>
      </c>
      <c r="G479" s="44">
        <f>VaR_PARAMÉTRICO!B12*E479</f>
        <v/>
      </c>
      <c r="H479" s="57">
        <f>G479*PARÂMETROS!B24</f>
        <v/>
      </c>
    </row>
    <row r="480" ht="16" customHeight="1">
      <c r="A480" s="38" t="n">
        <v>45231</v>
      </c>
      <c r="B480" s="69">
        <f>RETORNOS_HIST!C480</f>
        <v/>
      </c>
      <c r="C480" s="42">
        <f>B480^2</f>
        <v/>
      </c>
      <c r="D480" s="42">
        <f>PARÂMETROS!B21*D479+(1-PARÂMETROS!B21)*C479</f>
        <v/>
      </c>
      <c r="E480" s="40">
        <f>SQRT(D480)</f>
        <v/>
      </c>
      <c r="F480" s="41">
        <f>E480*SQRT(PARÂMETROS!B10)</f>
        <v/>
      </c>
      <c r="G480" s="41">
        <f>VaR_PARAMÉTRICO!B12*E480</f>
        <v/>
      </c>
      <c r="H480" s="59">
        <f>G480*PARÂMETROS!B24</f>
        <v/>
      </c>
    </row>
    <row r="481" ht="16" customHeight="1">
      <c r="A481" s="35" t="n">
        <v>45232</v>
      </c>
      <c r="B481" s="68">
        <f>RETORNOS_HIST!C481</f>
        <v/>
      </c>
      <c r="C481" s="45">
        <f>B481^2</f>
        <v/>
      </c>
      <c r="D481" s="45">
        <f>PARÂMETROS!B21*D480+(1-PARÂMETROS!B21)*C480</f>
        <v/>
      </c>
      <c r="E481" s="43">
        <f>SQRT(D481)</f>
        <v/>
      </c>
      <c r="F481" s="44">
        <f>E481*SQRT(PARÂMETROS!B10)</f>
        <v/>
      </c>
      <c r="G481" s="44">
        <f>VaR_PARAMÉTRICO!B12*E481</f>
        <v/>
      </c>
      <c r="H481" s="57">
        <f>G481*PARÂMETROS!B24</f>
        <v/>
      </c>
    </row>
    <row r="482" ht="16" customHeight="1">
      <c r="A482" s="38" t="n">
        <v>45233</v>
      </c>
      <c r="B482" s="69">
        <f>RETORNOS_HIST!C482</f>
        <v/>
      </c>
      <c r="C482" s="42">
        <f>B482^2</f>
        <v/>
      </c>
      <c r="D482" s="42">
        <f>PARÂMETROS!B21*D481+(1-PARÂMETROS!B21)*C481</f>
        <v/>
      </c>
      <c r="E482" s="40">
        <f>SQRT(D482)</f>
        <v/>
      </c>
      <c r="F482" s="41">
        <f>E482*SQRT(PARÂMETROS!B10)</f>
        <v/>
      </c>
      <c r="G482" s="41">
        <f>VaR_PARAMÉTRICO!B12*E482</f>
        <v/>
      </c>
      <c r="H482" s="59">
        <f>G482*PARÂMETROS!B24</f>
        <v/>
      </c>
    </row>
    <row r="483" ht="16" customHeight="1">
      <c r="A483" s="35" t="n">
        <v>45236</v>
      </c>
      <c r="B483" s="68">
        <f>RETORNOS_HIST!C483</f>
        <v/>
      </c>
      <c r="C483" s="45">
        <f>B483^2</f>
        <v/>
      </c>
      <c r="D483" s="45">
        <f>PARÂMETROS!B21*D482+(1-PARÂMETROS!B21)*C482</f>
        <v/>
      </c>
      <c r="E483" s="43">
        <f>SQRT(D483)</f>
        <v/>
      </c>
      <c r="F483" s="44">
        <f>E483*SQRT(PARÂMETROS!B10)</f>
        <v/>
      </c>
      <c r="G483" s="44">
        <f>VaR_PARAMÉTRICO!B12*E483</f>
        <v/>
      </c>
      <c r="H483" s="57">
        <f>G483*PARÂMETROS!B24</f>
        <v/>
      </c>
    </row>
    <row r="484" ht="16" customHeight="1">
      <c r="A484" s="38" t="n">
        <v>45237</v>
      </c>
      <c r="B484" s="69">
        <f>RETORNOS_HIST!C484</f>
        <v/>
      </c>
      <c r="C484" s="42">
        <f>B484^2</f>
        <v/>
      </c>
      <c r="D484" s="42">
        <f>PARÂMETROS!B21*D483+(1-PARÂMETROS!B21)*C483</f>
        <v/>
      </c>
      <c r="E484" s="40">
        <f>SQRT(D484)</f>
        <v/>
      </c>
      <c r="F484" s="41">
        <f>E484*SQRT(PARÂMETROS!B10)</f>
        <v/>
      </c>
      <c r="G484" s="41">
        <f>VaR_PARAMÉTRICO!B12*E484</f>
        <v/>
      </c>
      <c r="H484" s="59">
        <f>G484*PARÂMETROS!B24</f>
        <v/>
      </c>
    </row>
    <row r="485" ht="16" customHeight="1">
      <c r="A485" s="35" t="n">
        <v>45238</v>
      </c>
      <c r="B485" s="68">
        <f>RETORNOS_HIST!C485</f>
        <v/>
      </c>
      <c r="C485" s="45">
        <f>B485^2</f>
        <v/>
      </c>
      <c r="D485" s="45">
        <f>PARÂMETROS!B21*D484+(1-PARÂMETROS!B21)*C484</f>
        <v/>
      </c>
      <c r="E485" s="43">
        <f>SQRT(D485)</f>
        <v/>
      </c>
      <c r="F485" s="44">
        <f>E485*SQRT(PARÂMETROS!B10)</f>
        <v/>
      </c>
      <c r="G485" s="44">
        <f>VaR_PARAMÉTRICO!B12*E485</f>
        <v/>
      </c>
      <c r="H485" s="57">
        <f>G485*PARÂMETROS!B24</f>
        <v/>
      </c>
    </row>
    <row r="486" ht="16" customHeight="1">
      <c r="A486" s="38" t="n">
        <v>45239</v>
      </c>
      <c r="B486" s="69">
        <f>RETORNOS_HIST!C486</f>
        <v/>
      </c>
      <c r="C486" s="42">
        <f>B486^2</f>
        <v/>
      </c>
      <c r="D486" s="42">
        <f>PARÂMETROS!B21*D485+(1-PARÂMETROS!B21)*C485</f>
        <v/>
      </c>
      <c r="E486" s="40">
        <f>SQRT(D486)</f>
        <v/>
      </c>
      <c r="F486" s="41">
        <f>E486*SQRT(PARÂMETROS!B10)</f>
        <v/>
      </c>
      <c r="G486" s="41">
        <f>VaR_PARAMÉTRICO!B12*E486</f>
        <v/>
      </c>
      <c r="H486" s="59">
        <f>G486*PARÂMETROS!B24</f>
        <v/>
      </c>
    </row>
    <row r="487" ht="16" customHeight="1">
      <c r="A487" s="35" t="n">
        <v>45240</v>
      </c>
      <c r="B487" s="68">
        <f>RETORNOS_HIST!C487</f>
        <v/>
      </c>
      <c r="C487" s="45">
        <f>B487^2</f>
        <v/>
      </c>
      <c r="D487" s="45">
        <f>PARÂMETROS!B21*D486+(1-PARÂMETROS!B21)*C486</f>
        <v/>
      </c>
      <c r="E487" s="43">
        <f>SQRT(D487)</f>
        <v/>
      </c>
      <c r="F487" s="44">
        <f>E487*SQRT(PARÂMETROS!B10)</f>
        <v/>
      </c>
      <c r="G487" s="44">
        <f>VaR_PARAMÉTRICO!B12*E487</f>
        <v/>
      </c>
      <c r="H487" s="57">
        <f>G487*PARÂMETROS!B24</f>
        <v/>
      </c>
    </row>
    <row r="488" ht="16" customHeight="1">
      <c r="A488" s="38" t="n">
        <v>45243</v>
      </c>
      <c r="B488" s="69">
        <f>RETORNOS_HIST!C488</f>
        <v/>
      </c>
      <c r="C488" s="42">
        <f>B488^2</f>
        <v/>
      </c>
      <c r="D488" s="42">
        <f>PARÂMETROS!B21*D487+(1-PARÂMETROS!B21)*C487</f>
        <v/>
      </c>
      <c r="E488" s="40">
        <f>SQRT(D488)</f>
        <v/>
      </c>
      <c r="F488" s="41">
        <f>E488*SQRT(PARÂMETROS!B10)</f>
        <v/>
      </c>
      <c r="G488" s="41">
        <f>VaR_PARAMÉTRICO!B12*E488</f>
        <v/>
      </c>
      <c r="H488" s="59">
        <f>G488*PARÂMETROS!B24</f>
        <v/>
      </c>
    </row>
    <row r="489" ht="16" customHeight="1">
      <c r="A489" s="35" t="n">
        <v>45244</v>
      </c>
      <c r="B489" s="68">
        <f>RETORNOS_HIST!C489</f>
        <v/>
      </c>
      <c r="C489" s="45">
        <f>B489^2</f>
        <v/>
      </c>
      <c r="D489" s="45">
        <f>PARÂMETROS!B21*D488+(1-PARÂMETROS!B21)*C488</f>
        <v/>
      </c>
      <c r="E489" s="43">
        <f>SQRT(D489)</f>
        <v/>
      </c>
      <c r="F489" s="44">
        <f>E489*SQRT(PARÂMETROS!B10)</f>
        <v/>
      </c>
      <c r="G489" s="44">
        <f>VaR_PARAMÉTRICO!B12*E489</f>
        <v/>
      </c>
      <c r="H489" s="57">
        <f>G489*PARÂMETROS!B24</f>
        <v/>
      </c>
    </row>
    <row r="490" ht="16" customHeight="1">
      <c r="A490" s="38" t="n">
        <v>45245</v>
      </c>
      <c r="B490" s="69">
        <f>RETORNOS_HIST!C490</f>
        <v/>
      </c>
      <c r="C490" s="42">
        <f>B490^2</f>
        <v/>
      </c>
      <c r="D490" s="42">
        <f>PARÂMETROS!B21*D489+(1-PARÂMETROS!B21)*C489</f>
        <v/>
      </c>
      <c r="E490" s="40">
        <f>SQRT(D490)</f>
        <v/>
      </c>
      <c r="F490" s="41">
        <f>E490*SQRT(PARÂMETROS!B10)</f>
        <v/>
      </c>
      <c r="G490" s="41">
        <f>VaR_PARAMÉTRICO!B12*E490</f>
        <v/>
      </c>
      <c r="H490" s="59">
        <f>G490*PARÂMETROS!B24</f>
        <v/>
      </c>
    </row>
    <row r="491" ht="16" customHeight="1">
      <c r="A491" s="35" t="n">
        <v>45246</v>
      </c>
      <c r="B491" s="68">
        <f>RETORNOS_HIST!C491</f>
        <v/>
      </c>
      <c r="C491" s="45">
        <f>B491^2</f>
        <v/>
      </c>
      <c r="D491" s="45">
        <f>PARÂMETROS!B21*D490+(1-PARÂMETROS!B21)*C490</f>
        <v/>
      </c>
      <c r="E491" s="43">
        <f>SQRT(D491)</f>
        <v/>
      </c>
      <c r="F491" s="44">
        <f>E491*SQRT(PARÂMETROS!B10)</f>
        <v/>
      </c>
      <c r="G491" s="44">
        <f>VaR_PARAMÉTRICO!B12*E491</f>
        <v/>
      </c>
      <c r="H491" s="57">
        <f>G491*PARÂMETROS!B24</f>
        <v/>
      </c>
    </row>
    <row r="492" ht="16" customHeight="1">
      <c r="A492" s="38" t="n">
        <v>45247</v>
      </c>
      <c r="B492" s="69">
        <f>RETORNOS_HIST!C492</f>
        <v/>
      </c>
      <c r="C492" s="42">
        <f>B492^2</f>
        <v/>
      </c>
      <c r="D492" s="42">
        <f>PARÂMETROS!B21*D491+(1-PARÂMETROS!B21)*C491</f>
        <v/>
      </c>
      <c r="E492" s="40">
        <f>SQRT(D492)</f>
        <v/>
      </c>
      <c r="F492" s="41">
        <f>E492*SQRT(PARÂMETROS!B10)</f>
        <v/>
      </c>
      <c r="G492" s="41">
        <f>VaR_PARAMÉTRICO!B12*E492</f>
        <v/>
      </c>
      <c r="H492" s="59">
        <f>G492*PARÂMETROS!B24</f>
        <v/>
      </c>
    </row>
    <row r="493" ht="16" customHeight="1">
      <c r="A493" s="35" t="n">
        <v>45250</v>
      </c>
      <c r="B493" s="68">
        <f>RETORNOS_HIST!C493</f>
        <v/>
      </c>
      <c r="C493" s="45">
        <f>B493^2</f>
        <v/>
      </c>
      <c r="D493" s="45">
        <f>PARÂMETROS!B21*D492+(1-PARÂMETROS!B21)*C492</f>
        <v/>
      </c>
      <c r="E493" s="43">
        <f>SQRT(D493)</f>
        <v/>
      </c>
      <c r="F493" s="44">
        <f>E493*SQRT(PARÂMETROS!B10)</f>
        <v/>
      </c>
      <c r="G493" s="44">
        <f>VaR_PARAMÉTRICO!B12*E493</f>
        <v/>
      </c>
      <c r="H493" s="57">
        <f>G493*PARÂMETROS!B24</f>
        <v/>
      </c>
    </row>
    <row r="494" ht="16" customHeight="1">
      <c r="A494" s="38" t="n">
        <v>45251</v>
      </c>
      <c r="B494" s="69">
        <f>RETORNOS_HIST!C494</f>
        <v/>
      </c>
      <c r="C494" s="42">
        <f>B494^2</f>
        <v/>
      </c>
      <c r="D494" s="42">
        <f>PARÂMETROS!B21*D493+(1-PARÂMETROS!B21)*C493</f>
        <v/>
      </c>
      <c r="E494" s="40">
        <f>SQRT(D494)</f>
        <v/>
      </c>
      <c r="F494" s="41">
        <f>E494*SQRT(PARÂMETROS!B10)</f>
        <v/>
      </c>
      <c r="G494" s="41">
        <f>VaR_PARAMÉTRICO!B12*E494</f>
        <v/>
      </c>
      <c r="H494" s="59">
        <f>G494*PARÂMETROS!B24</f>
        <v/>
      </c>
    </row>
    <row r="495" ht="16" customHeight="1">
      <c r="A495" s="35" t="n">
        <v>45252</v>
      </c>
      <c r="B495" s="68">
        <f>RETORNOS_HIST!C495</f>
        <v/>
      </c>
      <c r="C495" s="45">
        <f>B495^2</f>
        <v/>
      </c>
      <c r="D495" s="45">
        <f>PARÂMETROS!B21*D494+(1-PARÂMETROS!B21)*C494</f>
        <v/>
      </c>
      <c r="E495" s="43">
        <f>SQRT(D495)</f>
        <v/>
      </c>
      <c r="F495" s="44">
        <f>E495*SQRT(PARÂMETROS!B10)</f>
        <v/>
      </c>
      <c r="G495" s="44">
        <f>VaR_PARAMÉTRICO!B12*E495</f>
        <v/>
      </c>
      <c r="H495" s="57">
        <f>G495*PARÂMETROS!B24</f>
        <v/>
      </c>
    </row>
    <row r="496" ht="16" customHeight="1">
      <c r="A496" s="38" t="n">
        <v>45253</v>
      </c>
      <c r="B496" s="69">
        <f>RETORNOS_HIST!C496</f>
        <v/>
      </c>
      <c r="C496" s="42">
        <f>B496^2</f>
        <v/>
      </c>
      <c r="D496" s="42">
        <f>PARÂMETROS!B21*D495+(1-PARÂMETROS!B21)*C495</f>
        <v/>
      </c>
      <c r="E496" s="40">
        <f>SQRT(D496)</f>
        <v/>
      </c>
      <c r="F496" s="41">
        <f>E496*SQRT(PARÂMETROS!B10)</f>
        <v/>
      </c>
      <c r="G496" s="41">
        <f>VaR_PARAMÉTRICO!B12*E496</f>
        <v/>
      </c>
      <c r="H496" s="59">
        <f>G496*PARÂMETROS!B24</f>
        <v/>
      </c>
    </row>
    <row r="497" ht="16" customHeight="1">
      <c r="A497" s="35" t="n">
        <v>45254</v>
      </c>
      <c r="B497" s="68">
        <f>RETORNOS_HIST!C497</f>
        <v/>
      </c>
      <c r="C497" s="45">
        <f>B497^2</f>
        <v/>
      </c>
      <c r="D497" s="45">
        <f>PARÂMETROS!B21*D496+(1-PARÂMETROS!B21)*C496</f>
        <v/>
      </c>
      <c r="E497" s="43">
        <f>SQRT(D497)</f>
        <v/>
      </c>
      <c r="F497" s="44">
        <f>E497*SQRT(PARÂMETROS!B10)</f>
        <v/>
      </c>
      <c r="G497" s="44">
        <f>VaR_PARAMÉTRICO!B12*E497</f>
        <v/>
      </c>
      <c r="H497" s="57">
        <f>G497*PARÂMETROS!B24</f>
        <v/>
      </c>
    </row>
    <row r="498" ht="16" customHeight="1">
      <c r="A498" s="38" t="n">
        <v>45257</v>
      </c>
      <c r="B498" s="69">
        <f>RETORNOS_HIST!C498</f>
        <v/>
      </c>
      <c r="C498" s="42">
        <f>B498^2</f>
        <v/>
      </c>
      <c r="D498" s="42">
        <f>PARÂMETROS!B21*D497+(1-PARÂMETROS!B21)*C497</f>
        <v/>
      </c>
      <c r="E498" s="40">
        <f>SQRT(D498)</f>
        <v/>
      </c>
      <c r="F498" s="41">
        <f>E498*SQRT(PARÂMETROS!B10)</f>
        <v/>
      </c>
      <c r="G498" s="41">
        <f>VaR_PARAMÉTRICO!B12*E498</f>
        <v/>
      </c>
      <c r="H498" s="59">
        <f>G498*PARÂMETROS!B24</f>
        <v/>
      </c>
    </row>
    <row r="499" ht="16" customHeight="1">
      <c r="A499" s="35" t="n">
        <v>45258</v>
      </c>
      <c r="B499" s="68">
        <f>RETORNOS_HIST!C499</f>
        <v/>
      </c>
      <c r="C499" s="45">
        <f>B499^2</f>
        <v/>
      </c>
      <c r="D499" s="45">
        <f>PARÂMETROS!B21*D498+(1-PARÂMETROS!B21)*C498</f>
        <v/>
      </c>
      <c r="E499" s="43">
        <f>SQRT(D499)</f>
        <v/>
      </c>
      <c r="F499" s="44">
        <f>E499*SQRT(PARÂMETROS!B10)</f>
        <v/>
      </c>
      <c r="G499" s="44">
        <f>VaR_PARAMÉTRICO!B12*E499</f>
        <v/>
      </c>
      <c r="H499" s="57">
        <f>G499*PARÂMETROS!B24</f>
        <v/>
      </c>
    </row>
    <row r="500" ht="16" customHeight="1">
      <c r="A500" s="38" t="n">
        <v>45259</v>
      </c>
      <c r="B500" s="69">
        <f>RETORNOS_HIST!C500</f>
        <v/>
      </c>
      <c r="C500" s="42">
        <f>B500^2</f>
        <v/>
      </c>
      <c r="D500" s="42">
        <f>PARÂMETROS!B21*D499+(1-PARÂMETROS!B21)*C499</f>
        <v/>
      </c>
      <c r="E500" s="40">
        <f>SQRT(D500)</f>
        <v/>
      </c>
      <c r="F500" s="41">
        <f>E500*SQRT(PARÂMETROS!B10)</f>
        <v/>
      </c>
      <c r="G500" s="41">
        <f>VaR_PARAMÉTRICO!B12*E500</f>
        <v/>
      </c>
      <c r="H500" s="59">
        <f>G500*PARÂMETROS!B24</f>
        <v/>
      </c>
    </row>
    <row r="501" ht="16" customHeight="1">
      <c r="A501" s="35" t="n">
        <v>45260</v>
      </c>
      <c r="B501" s="68">
        <f>RETORNOS_HIST!C501</f>
        <v/>
      </c>
      <c r="C501" s="45">
        <f>B501^2</f>
        <v/>
      </c>
      <c r="D501" s="45">
        <f>PARÂMETROS!B21*D500+(1-PARÂMETROS!B21)*C500</f>
        <v/>
      </c>
      <c r="E501" s="43">
        <f>SQRT(D501)</f>
        <v/>
      </c>
      <c r="F501" s="44">
        <f>E501*SQRT(PARÂMETROS!B10)</f>
        <v/>
      </c>
      <c r="G501" s="44">
        <f>VaR_PARAMÉTRICO!B12*E501</f>
        <v/>
      </c>
      <c r="H501" s="57">
        <f>G501*PARÂMETROS!B24</f>
        <v/>
      </c>
    </row>
    <row r="502" ht="16" customHeight="1">
      <c r="A502" s="38" t="n">
        <v>45261</v>
      </c>
      <c r="B502" s="69">
        <f>RETORNOS_HIST!C502</f>
        <v/>
      </c>
      <c r="C502" s="42">
        <f>B502^2</f>
        <v/>
      </c>
      <c r="D502" s="42">
        <f>PARÂMETROS!B21*D501+(1-PARÂMETROS!B21)*C501</f>
        <v/>
      </c>
      <c r="E502" s="40">
        <f>SQRT(D502)</f>
        <v/>
      </c>
      <c r="F502" s="41">
        <f>E502*SQRT(PARÂMETROS!B10)</f>
        <v/>
      </c>
      <c r="G502" s="41">
        <f>VaR_PARAMÉTRICO!B12*E502</f>
        <v/>
      </c>
      <c r="H502" s="59">
        <f>G502*PARÂMETROS!B24</f>
        <v/>
      </c>
    </row>
    <row r="503" ht="16" customHeight="1">
      <c r="A503" s="35" t="n">
        <v>45264</v>
      </c>
      <c r="B503" s="68">
        <f>RETORNOS_HIST!C503</f>
        <v/>
      </c>
      <c r="C503" s="45">
        <f>B503^2</f>
        <v/>
      </c>
      <c r="D503" s="45">
        <f>PARÂMETROS!B21*D502+(1-PARÂMETROS!B21)*C502</f>
        <v/>
      </c>
      <c r="E503" s="43">
        <f>SQRT(D503)</f>
        <v/>
      </c>
      <c r="F503" s="44">
        <f>E503*SQRT(PARÂMETROS!B10)</f>
        <v/>
      </c>
      <c r="G503" s="44">
        <f>VaR_PARAMÉTRICO!B12*E503</f>
        <v/>
      </c>
      <c r="H503" s="57">
        <f>G503*PARÂMETROS!B24</f>
        <v/>
      </c>
    </row>
    <row r="504" ht="16" customHeight="1">
      <c r="A504" s="38" t="n">
        <v>45265</v>
      </c>
      <c r="B504" s="69">
        <f>RETORNOS_HIST!C504</f>
        <v/>
      </c>
      <c r="C504" s="42">
        <f>B504^2</f>
        <v/>
      </c>
      <c r="D504" s="42">
        <f>PARÂMETROS!B21*D503+(1-PARÂMETROS!B21)*C503</f>
        <v/>
      </c>
      <c r="E504" s="40">
        <f>SQRT(D504)</f>
        <v/>
      </c>
      <c r="F504" s="41">
        <f>E504*SQRT(PARÂMETROS!B10)</f>
        <v/>
      </c>
      <c r="G504" s="41">
        <f>VaR_PARAMÉTRICO!B12*E504</f>
        <v/>
      </c>
      <c r="H504" s="59">
        <f>G504*PARÂMETROS!B24</f>
        <v/>
      </c>
    </row>
    <row r="505" ht="16" customHeight="1">
      <c r="A505" s="35" t="n">
        <v>45266</v>
      </c>
      <c r="B505" s="68">
        <f>RETORNOS_HIST!C505</f>
        <v/>
      </c>
      <c r="C505" s="45">
        <f>B505^2</f>
        <v/>
      </c>
      <c r="D505" s="45">
        <f>PARÂMETROS!B21*D504+(1-PARÂMETROS!B21)*C504</f>
        <v/>
      </c>
      <c r="E505" s="43">
        <f>SQRT(D505)</f>
        <v/>
      </c>
      <c r="F505" s="44">
        <f>E505*SQRT(PARÂMETROS!B10)</f>
        <v/>
      </c>
      <c r="G505" s="44">
        <f>VaR_PARAMÉTRICO!B12*E505</f>
        <v/>
      </c>
      <c r="H505" s="57">
        <f>G505*PARÂMETROS!B24</f>
        <v/>
      </c>
    </row>
    <row r="506" ht="16" customHeight="1">
      <c r="A506" s="38" t="n">
        <v>45267</v>
      </c>
      <c r="B506" s="69">
        <f>RETORNOS_HIST!C506</f>
        <v/>
      </c>
      <c r="C506" s="42">
        <f>B506^2</f>
        <v/>
      </c>
      <c r="D506" s="42">
        <f>PARÂMETROS!B21*D505+(1-PARÂMETROS!B21)*C505</f>
        <v/>
      </c>
      <c r="E506" s="40">
        <f>SQRT(D506)</f>
        <v/>
      </c>
      <c r="F506" s="41">
        <f>E506*SQRT(PARÂMETROS!B10)</f>
        <v/>
      </c>
      <c r="G506" s="41">
        <f>VaR_PARAMÉTRICO!B12*E506</f>
        <v/>
      </c>
      <c r="H506" s="59">
        <f>G506*PARÂMETROS!B24</f>
        <v/>
      </c>
    </row>
    <row r="507" ht="16" customHeight="1">
      <c r="A507" s="35" t="n">
        <v>45268</v>
      </c>
      <c r="B507" s="68">
        <f>RETORNOS_HIST!C507</f>
        <v/>
      </c>
      <c r="C507" s="45">
        <f>B507^2</f>
        <v/>
      </c>
      <c r="D507" s="45">
        <f>PARÂMETROS!B21*D506+(1-PARÂMETROS!B21)*C506</f>
        <v/>
      </c>
      <c r="E507" s="43">
        <f>SQRT(D507)</f>
        <v/>
      </c>
      <c r="F507" s="44">
        <f>E507*SQRT(PARÂMETROS!B10)</f>
        <v/>
      </c>
      <c r="G507" s="44">
        <f>VaR_PARAMÉTRICO!B12*E507</f>
        <v/>
      </c>
      <c r="H507" s="57">
        <f>G507*PARÂMETROS!B24</f>
        <v/>
      </c>
    </row>
    <row r="508" ht="16" customHeight="1">
      <c r="A508" s="38" t="n">
        <v>45271</v>
      </c>
      <c r="B508" s="69">
        <f>RETORNOS_HIST!C508</f>
        <v/>
      </c>
      <c r="C508" s="42">
        <f>B508^2</f>
        <v/>
      </c>
      <c r="D508" s="42">
        <f>PARÂMETROS!B21*D507+(1-PARÂMETROS!B21)*C507</f>
        <v/>
      </c>
      <c r="E508" s="40">
        <f>SQRT(D508)</f>
        <v/>
      </c>
      <c r="F508" s="41">
        <f>E508*SQRT(PARÂMETROS!B10)</f>
        <v/>
      </c>
      <c r="G508" s="41">
        <f>VaR_PARAMÉTRICO!B12*E508</f>
        <v/>
      </c>
      <c r="H508" s="59">
        <f>G508*PARÂMETROS!B24</f>
        <v/>
      </c>
    </row>
    <row r="509" ht="16" customHeight="1">
      <c r="A509" s="35" t="n">
        <v>45272</v>
      </c>
      <c r="B509" s="68">
        <f>RETORNOS_HIST!C509</f>
        <v/>
      </c>
      <c r="C509" s="45">
        <f>B509^2</f>
        <v/>
      </c>
      <c r="D509" s="45">
        <f>PARÂMETROS!B21*D508+(1-PARÂMETROS!B21)*C508</f>
        <v/>
      </c>
      <c r="E509" s="43">
        <f>SQRT(D509)</f>
        <v/>
      </c>
      <c r="F509" s="44">
        <f>E509*SQRT(PARÂMETROS!B10)</f>
        <v/>
      </c>
      <c r="G509" s="44">
        <f>VaR_PARAMÉTRICO!B12*E509</f>
        <v/>
      </c>
      <c r="H509" s="57">
        <f>G509*PARÂMETROS!B24</f>
        <v/>
      </c>
    </row>
    <row r="510" ht="16" customHeight="1">
      <c r="A510" s="38" t="n">
        <v>45273</v>
      </c>
      <c r="B510" s="69">
        <f>RETORNOS_HIST!C510</f>
        <v/>
      </c>
      <c r="C510" s="42">
        <f>B510^2</f>
        <v/>
      </c>
      <c r="D510" s="42">
        <f>PARÂMETROS!B21*D509+(1-PARÂMETROS!B21)*C509</f>
        <v/>
      </c>
      <c r="E510" s="40">
        <f>SQRT(D510)</f>
        <v/>
      </c>
      <c r="F510" s="41">
        <f>E510*SQRT(PARÂMETROS!B10)</f>
        <v/>
      </c>
      <c r="G510" s="41">
        <f>VaR_PARAMÉTRICO!B12*E510</f>
        <v/>
      </c>
      <c r="H510" s="59">
        <f>G510*PARÂMETROS!B24</f>
        <v/>
      </c>
    </row>
    <row r="511" ht="16" customHeight="1">
      <c r="A511" s="35" t="n">
        <v>45274</v>
      </c>
      <c r="B511" s="68">
        <f>RETORNOS_HIST!C511</f>
        <v/>
      </c>
      <c r="C511" s="45">
        <f>B511^2</f>
        <v/>
      </c>
      <c r="D511" s="45">
        <f>PARÂMETROS!B21*D510+(1-PARÂMETROS!B21)*C510</f>
        <v/>
      </c>
      <c r="E511" s="43">
        <f>SQRT(D511)</f>
        <v/>
      </c>
      <c r="F511" s="44">
        <f>E511*SQRT(PARÂMETROS!B10)</f>
        <v/>
      </c>
      <c r="G511" s="44">
        <f>VaR_PARAMÉTRICO!B12*E511</f>
        <v/>
      </c>
      <c r="H511" s="57">
        <f>G511*PARÂMETROS!B24</f>
        <v/>
      </c>
    </row>
    <row r="512" ht="16" customHeight="1">
      <c r="A512" s="38" t="n">
        <v>45275</v>
      </c>
      <c r="B512" s="69">
        <f>RETORNOS_HIST!C512</f>
        <v/>
      </c>
      <c r="C512" s="42">
        <f>B512^2</f>
        <v/>
      </c>
      <c r="D512" s="42">
        <f>PARÂMETROS!B21*D511+(1-PARÂMETROS!B21)*C511</f>
        <v/>
      </c>
      <c r="E512" s="40">
        <f>SQRT(D512)</f>
        <v/>
      </c>
      <c r="F512" s="41">
        <f>E512*SQRT(PARÂMETROS!B10)</f>
        <v/>
      </c>
      <c r="G512" s="41">
        <f>VaR_PARAMÉTRICO!B12*E512</f>
        <v/>
      </c>
      <c r="H512" s="59">
        <f>G512*PARÂMETROS!B24</f>
        <v/>
      </c>
    </row>
    <row r="513" ht="16" customHeight="1">
      <c r="A513" s="35" t="n">
        <v>45278</v>
      </c>
      <c r="B513" s="68">
        <f>RETORNOS_HIST!C513</f>
        <v/>
      </c>
      <c r="C513" s="45">
        <f>B513^2</f>
        <v/>
      </c>
      <c r="D513" s="45">
        <f>PARÂMETROS!B21*D512+(1-PARÂMETROS!B21)*C512</f>
        <v/>
      </c>
      <c r="E513" s="43">
        <f>SQRT(D513)</f>
        <v/>
      </c>
      <c r="F513" s="44">
        <f>E513*SQRT(PARÂMETROS!B10)</f>
        <v/>
      </c>
      <c r="G513" s="44">
        <f>VaR_PARAMÉTRICO!B12*E513</f>
        <v/>
      </c>
      <c r="H513" s="57">
        <f>G513*PARÂMETROS!B24</f>
        <v/>
      </c>
    </row>
    <row r="514" ht="16" customHeight="1">
      <c r="A514" s="38" t="n">
        <v>45279</v>
      </c>
      <c r="B514" s="69">
        <f>RETORNOS_HIST!C514</f>
        <v/>
      </c>
      <c r="C514" s="42">
        <f>B514^2</f>
        <v/>
      </c>
      <c r="D514" s="42">
        <f>PARÂMETROS!B21*D513+(1-PARÂMETROS!B21)*C513</f>
        <v/>
      </c>
      <c r="E514" s="40">
        <f>SQRT(D514)</f>
        <v/>
      </c>
      <c r="F514" s="41">
        <f>E514*SQRT(PARÂMETROS!B10)</f>
        <v/>
      </c>
      <c r="G514" s="41">
        <f>VaR_PARAMÉTRICO!B12*E514</f>
        <v/>
      </c>
      <c r="H514" s="59">
        <f>G514*PARÂMETROS!B24</f>
        <v/>
      </c>
    </row>
    <row r="515" ht="16" customHeight="1">
      <c r="A515" s="35" t="n">
        <v>45280</v>
      </c>
      <c r="B515" s="68">
        <f>RETORNOS_HIST!C515</f>
        <v/>
      </c>
      <c r="C515" s="45">
        <f>B515^2</f>
        <v/>
      </c>
      <c r="D515" s="45">
        <f>PARÂMETROS!B21*D514+(1-PARÂMETROS!B21)*C514</f>
        <v/>
      </c>
      <c r="E515" s="43">
        <f>SQRT(D515)</f>
        <v/>
      </c>
      <c r="F515" s="44">
        <f>E515*SQRT(PARÂMETROS!B10)</f>
        <v/>
      </c>
      <c r="G515" s="44">
        <f>VaR_PARAMÉTRICO!B12*E515</f>
        <v/>
      </c>
      <c r="H515" s="57">
        <f>G515*PARÂMETROS!B24</f>
        <v/>
      </c>
    </row>
    <row r="516" ht="16" customHeight="1">
      <c r="A516" s="38" t="n">
        <v>45281</v>
      </c>
      <c r="B516" s="69">
        <f>RETORNOS_HIST!C516</f>
        <v/>
      </c>
      <c r="C516" s="42">
        <f>B516^2</f>
        <v/>
      </c>
      <c r="D516" s="42">
        <f>PARÂMETROS!B21*D515+(1-PARÂMETROS!B21)*C515</f>
        <v/>
      </c>
      <c r="E516" s="40">
        <f>SQRT(D516)</f>
        <v/>
      </c>
      <c r="F516" s="41">
        <f>E516*SQRT(PARÂMETROS!B10)</f>
        <v/>
      </c>
      <c r="G516" s="41">
        <f>VaR_PARAMÉTRICO!B12*E516</f>
        <v/>
      </c>
      <c r="H516" s="59">
        <f>G516*PARÂMETROS!B24</f>
        <v/>
      </c>
    </row>
    <row r="517" ht="16" customHeight="1">
      <c r="A517" s="35" t="n">
        <v>45282</v>
      </c>
      <c r="B517" s="68">
        <f>RETORNOS_HIST!C517</f>
        <v/>
      </c>
      <c r="C517" s="45">
        <f>B517^2</f>
        <v/>
      </c>
      <c r="D517" s="45">
        <f>PARÂMETROS!B21*D516+(1-PARÂMETROS!B21)*C516</f>
        <v/>
      </c>
      <c r="E517" s="43">
        <f>SQRT(D517)</f>
        <v/>
      </c>
      <c r="F517" s="44">
        <f>E517*SQRT(PARÂMETROS!B10)</f>
        <v/>
      </c>
      <c r="G517" s="44">
        <f>VaR_PARAMÉTRICO!B12*E517</f>
        <v/>
      </c>
      <c r="H517" s="57">
        <f>G517*PARÂMETROS!B24</f>
        <v/>
      </c>
    </row>
    <row r="518" ht="16" customHeight="1">
      <c r="A518" s="38" t="n">
        <v>45285</v>
      </c>
      <c r="B518" s="69">
        <f>RETORNOS_HIST!C518</f>
        <v/>
      </c>
      <c r="C518" s="42">
        <f>B518^2</f>
        <v/>
      </c>
      <c r="D518" s="42">
        <f>PARÂMETROS!B21*D517+(1-PARÂMETROS!B21)*C517</f>
        <v/>
      </c>
      <c r="E518" s="40">
        <f>SQRT(D518)</f>
        <v/>
      </c>
      <c r="F518" s="41">
        <f>E518*SQRT(PARÂMETROS!B10)</f>
        <v/>
      </c>
      <c r="G518" s="41">
        <f>VaR_PARAMÉTRICO!B12*E518</f>
        <v/>
      </c>
      <c r="H518" s="59">
        <f>G518*PARÂMETROS!B24</f>
        <v/>
      </c>
    </row>
    <row r="519" ht="16" customHeight="1">
      <c r="A519" s="35" t="n">
        <v>45286</v>
      </c>
      <c r="B519" s="68">
        <f>RETORNOS_HIST!C519</f>
        <v/>
      </c>
      <c r="C519" s="45">
        <f>B519^2</f>
        <v/>
      </c>
      <c r="D519" s="45">
        <f>PARÂMETROS!B21*D518+(1-PARÂMETROS!B21)*C518</f>
        <v/>
      </c>
      <c r="E519" s="43">
        <f>SQRT(D519)</f>
        <v/>
      </c>
      <c r="F519" s="44">
        <f>E519*SQRT(PARÂMETROS!B10)</f>
        <v/>
      </c>
      <c r="G519" s="44">
        <f>VaR_PARAMÉTRICO!B12*E519</f>
        <v/>
      </c>
      <c r="H519" s="57">
        <f>G519*PARÂMETROS!B24</f>
        <v/>
      </c>
    </row>
    <row r="520" ht="16" customHeight="1">
      <c r="A520" s="38" t="n">
        <v>45287</v>
      </c>
      <c r="B520" s="69">
        <f>RETORNOS_HIST!C520</f>
        <v/>
      </c>
      <c r="C520" s="42">
        <f>B520^2</f>
        <v/>
      </c>
      <c r="D520" s="42">
        <f>PARÂMETROS!B21*D519+(1-PARÂMETROS!B21)*C519</f>
        <v/>
      </c>
      <c r="E520" s="40">
        <f>SQRT(D520)</f>
        <v/>
      </c>
      <c r="F520" s="41">
        <f>E520*SQRT(PARÂMETROS!B10)</f>
        <v/>
      </c>
      <c r="G520" s="41">
        <f>VaR_PARAMÉTRICO!B12*E520</f>
        <v/>
      </c>
      <c r="H520" s="59">
        <f>G520*PARÂMETROS!B24</f>
        <v/>
      </c>
    </row>
    <row r="521" ht="16" customHeight="1">
      <c r="A521" s="35" t="n">
        <v>45288</v>
      </c>
      <c r="B521" s="68">
        <f>RETORNOS_HIST!C521</f>
        <v/>
      </c>
      <c r="C521" s="45">
        <f>B521^2</f>
        <v/>
      </c>
      <c r="D521" s="45">
        <f>PARÂMETROS!B21*D520+(1-PARÂMETROS!B21)*C520</f>
        <v/>
      </c>
      <c r="E521" s="43">
        <f>SQRT(D521)</f>
        <v/>
      </c>
      <c r="F521" s="44">
        <f>E521*SQRT(PARÂMETROS!B10)</f>
        <v/>
      </c>
      <c r="G521" s="44">
        <f>VaR_PARAMÉTRICO!B12*E521</f>
        <v/>
      </c>
      <c r="H521" s="57">
        <f>G521*PARÂMETROS!B24</f>
        <v/>
      </c>
    </row>
    <row r="522" ht="16" customHeight="1">
      <c r="A522" s="38" t="n">
        <v>45289</v>
      </c>
      <c r="B522" s="69">
        <f>RETORNOS_HIST!C522</f>
        <v/>
      </c>
      <c r="C522" s="42">
        <f>B522^2</f>
        <v/>
      </c>
      <c r="D522" s="42">
        <f>PARÂMETROS!B21*D521+(1-PARÂMETROS!B21)*C521</f>
        <v/>
      </c>
      <c r="E522" s="40">
        <f>SQRT(D522)</f>
        <v/>
      </c>
      <c r="F522" s="41">
        <f>E522*SQRT(PARÂMETROS!B10)</f>
        <v/>
      </c>
      <c r="G522" s="41">
        <f>VaR_PARAMÉTRICO!B12*E522</f>
        <v/>
      </c>
      <c r="H522" s="59">
        <f>G522*PARÂMETROS!B24</f>
        <v/>
      </c>
    </row>
    <row r="524">
      <c r="A524" s="46" t="inlineStr">
        <is>
          <t>SUMÁRIO EWMA – ÚLTIMA OBSERVAÇÃO</t>
        </is>
      </c>
    </row>
    <row r="525">
      <c r="A525" s="24" t="inlineStr">
        <is>
          <t>Volatilidade EWMA Diária</t>
        </is>
      </c>
      <c r="B525" s="43">
        <f>E522</f>
        <v/>
      </c>
      <c r="C525" s="13" t="n"/>
      <c r="D525" s="14" t="n"/>
    </row>
    <row r="526">
      <c r="A526" s="20" t="inlineStr">
        <is>
          <t>Volatilidade EWMA Anualizada</t>
        </is>
      </c>
      <c r="B526" s="41">
        <f>F522</f>
        <v/>
      </c>
      <c r="C526" s="13" t="n"/>
      <c r="D526" s="14" t="n"/>
    </row>
    <row r="527">
      <c r="A527" s="24" t="inlineStr">
        <is>
          <t>VaR EWMA 99% 1 dia (%)</t>
        </is>
      </c>
      <c r="B527" s="44">
        <f>G522</f>
        <v/>
      </c>
      <c r="C527" s="13" t="n"/>
      <c r="D527" s="14" t="n"/>
    </row>
    <row r="528">
      <c r="A528" s="20" t="inlineStr">
        <is>
          <t>VaR EWMA 99% 1 dia (R$)</t>
        </is>
      </c>
      <c r="B528" s="59">
        <f>H522</f>
        <v/>
      </c>
      <c r="C528" s="13" t="n"/>
      <c r="D528" s="14" t="n"/>
    </row>
    <row r="529">
      <c r="A529" s="24" t="inlineStr">
        <is>
          <t>VaR EWMA 99% 10 dias (R$)</t>
        </is>
      </c>
      <c r="B529" s="57">
        <f>H522*SQRT(PARÂMETROS!B9)</f>
        <v/>
      </c>
      <c r="C529" s="13" t="n"/>
      <c r="D529" s="14" t="n"/>
    </row>
  </sheetData>
  <mergeCells count="7">
    <mergeCell ref="B528:D528"/>
    <mergeCell ref="B529:D529"/>
    <mergeCell ref="B527:D527"/>
    <mergeCell ref="A524:H524"/>
    <mergeCell ref="B526:D526"/>
    <mergeCell ref="A1:H1"/>
    <mergeCell ref="B525:D5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G2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2" customWidth="1" min="4" max="4"/>
    <col width="18" customWidth="1" min="5" max="5"/>
    <col width="25" customWidth="1" min="6" max="6"/>
    <col width="10" customWidth="1" min="7" max="7"/>
  </cols>
  <sheetData>
    <row r="1" ht="40" customHeight="1">
      <c r="A1" s="17" t="inlineStr">
        <is>
          <t>BACKTESTING – SEMÁFORO DE BASILEIA</t>
        </is>
      </c>
    </row>
    <row r="2" ht="22" customHeight="1">
      <c r="A2" s="18" t="inlineStr">
        <is>
          <t>DATA</t>
        </is>
      </c>
      <c r="B2" s="18" t="inlineStr">
        <is>
          <t>RETORNO REAL (%)</t>
        </is>
      </c>
      <c r="C2" s="18" t="inlineStr">
        <is>
          <t>VaR 99% 1d (%)</t>
        </is>
      </c>
      <c r="D2" s="18" t="inlineStr">
        <is>
          <t>EXCEÇÃO?</t>
        </is>
      </c>
      <c r="E2" s="18" t="inlineStr">
        <is>
          <t>Nº ORDEM EXCEÇÃO</t>
        </is>
      </c>
      <c r="F2" s="18" t="inlineStr">
        <is>
          <t>OBSERVAÇÃO</t>
        </is>
      </c>
      <c r="G2" s="18" t="inlineStr"/>
    </row>
    <row r="3" ht="16" customHeight="1">
      <c r="A3" s="35" t="n">
        <v>44942</v>
      </c>
      <c r="B3" s="52">
        <f>RETORNOS_HIST!C274</f>
        <v/>
      </c>
      <c r="C3" s="44">
        <f>VaR_PARAMÉTRICO!E19</f>
        <v/>
      </c>
      <c r="D3" s="70">
        <f>IF(B3&lt;-C3,"SIM","NÃO")</f>
        <v/>
      </c>
      <c r="E3" s="61">
        <f>IF(D3="SIM",1,0)</f>
        <v/>
      </c>
      <c r="F3" s="26" t="inlineStr"/>
    </row>
    <row r="4" ht="16" customHeight="1">
      <c r="A4" s="38" t="n">
        <v>44943</v>
      </c>
      <c r="B4" s="51">
        <f>RETORNOS_HIST!C275</f>
        <v/>
      </c>
      <c r="C4" s="41">
        <f>VaR_PARAMÉTRICO!E19</f>
        <v/>
      </c>
      <c r="D4" s="71">
        <f>IF(B4&lt;-C4,"SIM","NÃO")</f>
        <v/>
      </c>
      <c r="E4" s="62">
        <f>IF(D4="SIM",E3+1,E3)</f>
        <v/>
      </c>
      <c r="F4" s="22" t="inlineStr"/>
    </row>
    <row r="5" ht="16" customHeight="1">
      <c r="A5" s="35" t="n">
        <v>44944</v>
      </c>
      <c r="B5" s="52">
        <f>RETORNOS_HIST!C276</f>
        <v/>
      </c>
      <c r="C5" s="44">
        <f>VaR_PARAMÉTRICO!E19</f>
        <v/>
      </c>
      <c r="D5" s="70">
        <f>IF(B5&lt;-C5,"SIM","NÃO")</f>
        <v/>
      </c>
      <c r="E5" s="61">
        <f>IF(D5="SIM",E4+1,E4)</f>
        <v/>
      </c>
      <c r="F5" s="26" t="inlineStr"/>
    </row>
    <row r="6" ht="16" customHeight="1">
      <c r="A6" s="38" t="n">
        <v>44945</v>
      </c>
      <c r="B6" s="51">
        <f>RETORNOS_HIST!C277</f>
        <v/>
      </c>
      <c r="C6" s="41">
        <f>VaR_PARAMÉTRICO!E19</f>
        <v/>
      </c>
      <c r="D6" s="71">
        <f>IF(B6&lt;-C6,"SIM","NÃO")</f>
        <v/>
      </c>
      <c r="E6" s="62">
        <f>IF(D6="SIM",E5+1,E5)</f>
        <v/>
      </c>
      <c r="F6" s="22" t="inlineStr"/>
    </row>
    <row r="7" ht="16" customHeight="1">
      <c r="A7" s="35" t="n">
        <v>44946</v>
      </c>
      <c r="B7" s="52">
        <f>RETORNOS_HIST!C278</f>
        <v/>
      </c>
      <c r="C7" s="44">
        <f>VaR_PARAMÉTRICO!E19</f>
        <v/>
      </c>
      <c r="D7" s="70">
        <f>IF(B7&lt;-C7,"SIM","NÃO")</f>
        <v/>
      </c>
      <c r="E7" s="61">
        <f>IF(D7="SIM",E6+1,E6)</f>
        <v/>
      </c>
      <c r="F7" s="26" t="inlineStr"/>
    </row>
    <row r="8" ht="16" customHeight="1">
      <c r="A8" s="38" t="n">
        <v>44949</v>
      </c>
      <c r="B8" s="51">
        <f>RETORNOS_HIST!C279</f>
        <v/>
      </c>
      <c r="C8" s="41">
        <f>VaR_PARAMÉTRICO!E19</f>
        <v/>
      </c>
      <c r="D8" s="71">
        <f>IF(B8&lt;-C8,"SIM","NÃO")</f>
        <v/>
      </c>
      <c r="E8" s="62">
        <f>IF(D8="SIM",E7+1,E7)</f>
        <v/>
      </c>
      <c r="F8" s="22" t="inlineStr"/>
    </row>
    <row r="9" ht="16" customHeight="1">
      <c r="A9" s="35" t="n">
        <v>44950</v>
      </c>
      <c r="B9" s="52">
        <f>RETORNOS_HIST!C280</f>
        <v/>
      </c>
      <c r="C9" s="44">
        <f>VaR_PARAMÉTRICO!E19</f>
        <v/>
      </c>
      <c r="D9" s="70">
        <f>IF(B9&lt;-C9,"SIM","NÃO")</f>
        <v/>
      </c>
      <c r="E9" s="61">
        <f>IF(D9="SIM",E8+1,E8)</f>
        <v/>
      </c>
      <c r="F9" s="26" t="inlineStr"/>
    </row>
    <row r="10" ht="16" customHeight="1">
      <c r="A10" s="38" t="n">
        <v>44951</v>
      </c>
      <c r="B10" s="51">
        <f>RETORNOS_HIST!C281</f>
        <v/>
      </c>
      <c r="C10" s="41">
        <f>VaR_PARAMÉTRICO!E19</f>
        <v/>
      </c>
      <c r="D10" s="71">
        <f>IF(B10&lt;-C10,"SIM","NÃO")</f>
        <v/>
      </c>
      <c r="E10" s="62">
        <f>IF(D10="SIM",E9+1,E9)</f>
        <v/>
      </c>
      <c r="F10" s="22" t="inlineStr"/>
    </row>
    <row r="11" ht="16" customHeight="1">
      <c r="A11" s="35" t="n">
        <v>44952</v>
      </c>
      <c r="B11" s="52">
        <f>RETORNOS_HIST!C282</f>
        <v/>
      </c>
      <c r="C11" s="44">
        <f>VaR_PARAMÉTRICO!E19</f>
        <v/>
      </c>
      <c r="D11" s="70">
        <f>IF(B11&lt;-C11,"SIM","NÃO")</f>
        <v/>
      </c>
      <c r="E11" s="61">
        <f>IF(D11="SIM",E10+1,E10)</f>
        <v/>
      </c>
      <c r="F11" s="26" t="inlineStr"/>
    </row>
    <row r="12" ht="16" customHeight="1">
      <c r="A12" s="38" t="n">
        <v>44953</v>
      </c>
      <c r="B12" s="51">
        <f>RETORNOS_HIST!C283</f>
        <v/>
      </c>
      <c r="C12" s="41">
        <f>VaR_PARAMÉTRICO!E19</f>
        <v/>
      </c>
      <c r="D12" s="71">
        <f>IF(B12&lt;-C12,"SIM","NÃO")</f>
        <v/>
      </c>
      <c r="E12" s="62">
        <f>IF(D12="SIM",E11+1,E11)</f>
        <v/>
      </c>
      <c r="F12" s="22" t="inlineStr"/>
    </row>
    <row r="13" ht="16" customHeight="1">
      <c r="A13" s="35" t="n">
        <v>44956</v>
      </c>
      <c r="B13" s="52">
        <f>RETORNOS_HIST!C284</f>
        <v/>
      </c>
      <c r="C13" s="44">
        <f>VaR_PARAMÉTRICO!E19</f>
        <v/>
      </c>
      <c r="D13" s="70">
        <f>IF(B13&lt;-C13,"SIM","NÃO")</f>
        <v/>
      </c>
      <c r="E13" s="61">
        <f>IF(D13="SIM",E12+1,E12)</f>
        <v/>
      </c>
      <c r="F13" s="26" t="inlineStr"/>
    </row>
    <row r="14" ht="16" customHeight="1">
      <c r="A14" s="38" t="n">
        <v>44957</v>
      </c>
      <c r="B14" s="51">
        <f>RETORNOS_HIST!C285</f>
        <v/>
      </c>
      <c r="C14" s="41">
        <f>VaR_PARAMÉTRICO!E19</f>
        <v/>
      </c>
      <c r="D14" s="71">
        <f>IF(B14&lt;-C14,"SIM","NÃO")</f>
        <v/>
      </c>
      <c r="E14" s="62">
        <f>IF(D14="SIM",E13+1,E13)</f>
        <v/>
      </c>
      <c r="F14" s="22" t="inlineStr"/>
    </row>
    <row r="15" ht="16" customHeight="1">
      <c r="A15" s="35" t="n">
        <v>44958</v>
      </c>
      <c r="B15" s="52">
        <f>RETORNOS_HIST!C286</f>
        <v/>
      </c>
      <c r="C15" s="44">
        <f>VaR_PARAMÉTRICO!E19</f>
        <v/>
      </c>
      <c r="D15" s="70">
        <f>IF(B15&lt;-C15,"SIM","NÃO")</f>
        <v/>
      </c>
      <c r="E15" s="61">
        <f>IF(D15="SIM",E14+1,E14)</f>
        <v/>
      </c>
      <c r="F15" s="26" t="inlineStr"/>
    </row>
    <row r="16" ht="16" customHeight="1">
      <c r="A16" s="38" t="n">
        <v>44959</v>
      </c>
      <c r="B16" s="51">
        <f>RETORNOS_HIST!C287</f>
        <v/>
      </c>
      <c r="C16" s="41">
        <f>VaR_PARAMÉTRICO!E19</f>
        <v/>
      </c>
      <c r="D16" s="71">
        <f>IF(B16&lt;-C16,"SIM","NÃO")</f>
        <v/>
      </c>
      <c r="E16" s="62">
        <f>IF(D16="SIM",E15+1,E15)</f>
        <v/>
      </c>
      <c r="F16" s="22" t="inlineStr"/>
    </row>
    <row r="17" ht="16" customHeight="1">
      <c r="A17" s="35" t="n">
        <v>44960</v>
      </c>
      <c r="B17" s="52">
        <f>RETORNOS_HIST!C288</f>
        <v/>
      </c>
      <c r="C17" s="44">
        <f>VaR_PARAMÉTRICO!E19</f>
        <v/>
      </c>
      <c r="D17" s="70">
        <f>IF(B17&lt;-C17,"SIM","NÃO")</f>
        <v/>
      </c>
      <c r="E17" s="61">
        <f>IF(D17="SIM",E16+1,E16)</f>
        <v/>
      </c>
      <c r="F17" s="26" t="inlineStr"/>
    </row>
    <row r="18" ht="16" customHeight="1">
      <c r="A18" s="38" t="n">
        <v>44963</v>
      </c>
      <c r="B18" s="51">
        <f>RETORNOS_HIST!C289</f>
        <v/>
      </c>
      <c r="C18" s="41">
        <f>VaR_PARAMÉTRICO!E19</f>
        <v/>
      </c>
      <c r="D18" s="71">
        <f>IF(B18&lt;-C18,"SIM","NÃO")</f>
        <v/>
      </c>
      <c r="E18" s="62">
        <f>IF(D18="SIM",E17+1,E17)</f>
        <v/>
      </c>
      <c r="F18" s="22" t="inlineStr"/>
    </row>
    <row r="19" ht="16" customHeight="1">
      <c r="A19" s="35" t="n">
        <v>44964</v>
      </c>
      <c r="B19" s="52">
        <f>RETORNOS_HIST!C290</f>
        <v/>
      </c>
      <c r="C19" s="44">
        <f>VaR_PARAMÉTRICO!E19</f>
        <v/>
      </c>
      <c r="D19" s="70">
        <f>IF(B19&lt;-C19,"SIM","NÃO")</f>
        <v/>
      </c>
      <c r="E19" s="61">
        <f>IF(D19="SIM",E18+1,E18)</f>
        <v/>
      </c>
      <c r="F19" s="26" t="inlineStr"/>
    </row>
    <row r="20" ht="16" customHeight="1">
      <c r="A20" s="38" t="n">
        <v>44965</v>
      </c>
      <c r="B20" s="51">
        <f>RETORNOS_HIST!C291</f>
        <v/>
      </c>
      <c r="C20" s="41">
        <f>VaR_PARAMÉTRICO!E19</f>
        <v/>
      </c>
      <c r="D20" s="71">
        <f>IF(B20&lt;-C20,"SIM","NÃO")</f>
        <v/>
      </c>
      <c r="E20" s="62">
        <f>IF(D20="SIM",E19+1,E19)</f>
        <v/>
      </c>
      <c r="F20" s="22" t="inlineStr"/>
    </row>
    <row r="21" ht="16" customHeight="1">
      <c r="A21" s="35" t="n">
        <v>44966</v>
      </c>
      <c r="B21" s="52">
        <f>RETORNOS_HIST!C292</f>
        <v/>
      </c>
      <c r="C21" s="44">
        <f>VaR_PARAMÉTRICO!E19</f>
        <v/>
      </c>
      <c r="D21" s="70">
        <f>IF(B21&lt;-C21,"SIM","NÃO")</f>
        <v/>
      </c>
      <c r="E21" s="61">
        <f>IF(D21="SIM",E20+1,E20)</f>
        <v/>
      </c>
      <c r="F21" s="26" t="inlineStr"/>
    </row>
    <row r="22" ht="16" customHeight="1">
      <c r="A22" s="38" t="n">
        <v>44967</v>
      </c>
      <c r="B22" s="51">
        <f>RETORNOS_HIST!C293</f>
        <v/>
      </c>
      <c r="C22" s="41">
        <f>VaR_PARAMÉTRICO!E19</f>
        <v/>
      </c>
      <c r="D22" s="71">
        <f>IF(B22&lt;-C22,"SIM","NÃO")</f>
        <v/>
      </c>
      <c r="E22" s="62">
        <f>IF(D22="SIM",E21+1,E21)</f>
        <v/>
      </c>
      <c r="F22" s="22" t="inlineStr"/>
    </row>
    <row r="23" ht="16" customHeight="1">
      <c r="A23" s="35" t="n">
        <v>44970</v>
      </c>
      <c r="B23" s="52">
        <f>RETORNOS_HIST!C294</f>
        <v/>
      </c>
      <c r="C23" s="44">
        <f>VaR_PARAMÉTRICO!E19</f>
        <v/>
      </c>
      <c r="D23" s="70">
        <f>IF(B23&lt;-C23,"SIM","NÃO")</f>
        <v/>
      </c>
      <c r="E23" s="61">
        <f>IF(D23="SIM",E22+1,E22)</f>
        <v/>
      </c>
      <c r="F23" s="26" t="inlineStr"/>
    </row>
    <row r="24" ht="16" customHeight="1">
      <c r="A24" s="38" t="n">
        <v>44971</v>
      </c>
      <c r="B24" s="51">
        <f>RETORNOS_HIST!C295</f>
        <v/>
      </c>
      <c r="C24" s="41">
        <f>VaR_PARAMÉTRICO!E19</f>
        <v/>
      </c>
      <c r="D24" s="71">
        <f>IF(B24&lt;-C24,"SIM","NÃO")</f>
        <v/>
      </c>
      <c r="E24" s="62">
        <f>IF(D24="SIM",E23+1,E23)</f>
        <v/>
      </c>
      <c r="F24" s="22" t="inlineStr"/>
    </row>
    <row r="25" ht="16" customHeight="1">
      <c r="A25" s="35" t="n">
        <v>44972</v>
      </c>
      <c r="B25" s="52">
        <f>RETORNOS_HIST!C296</f>
        <v/>
      </c>
      <c r="C25" s="44">
        <f>VaR_PARAMÉTRICO!E19</f>
        <v/>
      </c>
      <c r="D25" s="70">
        <f>IF(B25&lt;-C25,"SIM","NÃO")</f>
        <v/>
      </c>
      <c r="E25" s="61">
        <f>IF(D25="SIM",E24+1,E24)</f>
        <v/>
      </c>
      <c r="F25" s="26" t="inlineStr"/>
    </row>
    <row r="26" ht="16" customHeight="1">
      <c r="A26" s="38" t="n">
        <v>44973</v>
      </c>
      <c r="B26" s="51">
        <f>RETORNOS_HIST!C297</f>
        <v/>
      </c>
      <c r="C26" s="41">
        <f>VaR_PARAMÉTRICO!E19</f>
        <v/>
      </c>
      <c r="D26" s="71">
        <f>IF(B26&lt;-C26,"SIM","NÃO")</f>
        <v/>
      </c>
      <c r="E26" s="62">
        <f>IF(D26="SIM",E25+1,E25)</f>
        <v/>
      </c>
      <c r="F26" s="22" t="inlineStr"/>
    </row>
    <row r="27" ht="16" customHeight="1">
      <c r="A27" s="35" t="n">
        <v>44974</v>
      </c>
      <c r="B27" s="52">
        <f>RETORNOS_HIST!C298</f>
        <v/>
      </c>
      <c r="C27" s="44">
        <f>VaR_PARAMÉTRICO!E19</f>
        <v/>
      </c>
      <c r="D27" s="70">
        <f>IF(B27&lt;-C27,"SIM","NÃO")</f>
        <v/>
      </c>
      <c r="E27" s="61">
        <f>IF(D27="SIM",E26+1,E26)</f>
        <v/>
      </c>
      <c r="F27" s="26" t="inlineStr"/>
    </row>
    <row r="28" ht="16" customHeight="1">
      <c r="A28" s="38" t="n">
        <v>44977</v>
      </c>
      <c r="B28" s="51">
        <f>RETORNOS_HIST!C299</f>
        <v/>
      </c>
      <c r="C28" s="41">
        <f>VaR_PARAMÉTRICO!E19</f>
        <v/>
      </c>
      <c r="D28" s="71">
        <f>IF(B28&lt;-C28,"SIM","NÃO")</f>
        <v/>
      </c>
      <c r="E28" s="62">
        <f>IF(D28="SIM",E27+1,E27)</f>
        <v/>
      </c>
      <c r="F28" s="22" t="inlineStr"/>
    </row>
    <row r="29" ht="16" customHeight="1">
      <c r="A29" s="35" t="n">
        <v>44978</v>
      </c>
      <c r="B29" s="52">
        <f>RETORNOS_HIST!C300</f>
        <v/>
      </c>
      <c r="C29" s="44">
        <f>VaR_PARAMÉTRICO!E19</f>
        <v/>
      </c>
      <c r="D29" s="70">
        <f>IF(B29&lt;-C29,"SIM","NÃO")</f>
        <v/>
      </c>
      <c r="E29" s="61">
        <f>IF(D29="SIM",E28+1,E28)</f>
        <v/>
      </c>
      <c r="F29" s="26" t="inlineStr"/>
    </row>
    <row r="30" ht="16" customHeight="1">
      <c r="A30" s="38" t="n">
        <v>44979</v>
      </c>
      <c r="B30" s="51">
        <f>RETORNOS_HIST!C301</f>
        <v/>
      </c>
      <c r="C30" s="41">
        <f>VaR_PARAMÉTRICO!E19</f>
        <v/>
      </c>
      <c r="D30" s="71">
        <f>IF(B30&lt;-C30,"SIM","NÃO")</f>
        <v/>
      </c>
      <c r="E30" s="62">
        <f>IF(D30="SIM",E29+1,E29)</f>
        <v/>
      </c>
      <c r="F30" s="22" t="inlineStr"/>
    </row>
    <row r="31" ht="16" customHeight="1">
      <c r="A31" s="35" t="n">
        <v>44980</v>
      </c>
      <c r="B31" s="52">
        <f>RETORNOS_HIST!C302</f>
        <v/>
      </c>
      <c r="C31" s="44">
        <f>VaR_PARAMÉTRICO!E19</f>
        <v/>
      </c>
      <c r="D31" s="70">
        <f>IF(B31&lt;-C31,"SIM","NÃO")</f>
        <v/>
      </c>
      <c r="E31" s="61">
        <f>IF(D31="SIM",E30+1,E30)</f>
        <v/>
      </c>
      <c r="F31" s="26" t="inlineStr"/>
    </row>
    <row r="32" ht="16" customHeight="1">
      <c r="A32" s="38" t="n">
        <v>44981</v>
      </c>
      <c r="B32" s="51">
        <f>RETORNOS_HIST!C303</f>
        <v/>
      </c>
      <c r="C32" s="41">
        <f>VaR_PARAMÉTRICO!E19</f>
        <v/>
      </c>
      <c r="D32" s="71">
        <f>IF(B32&lt;-C32,"SIM","NÃO")</f>
        <v/>
      </c>
      <c r="E32" s="62">
        <f>IF(D32="SIM",E31+1,E31)</f>
        <v/>
      </c>
      <c r="F32" s="22" t="inlineStr"/>
    </row>
    <row r="33" ht="16" customHeight="1">
      <c r="A33" s="35" t="n">
        <v>44984</v>
      </c>
      <c r="B33" s="52">
        <f>RETORNOS_HIST!C304</f>
        <v/>
      </c>
      <c r="C33" s="44">
        <f>VaR_PARAMÉTRICO!E19</f>
        <v/>
      </c>
      <c r="D33" s="70">
        <f>IF(B33&lt;-C33,"SIM","NÃO")</f>
        <v/>
      </c>
      <c r="E33" s="61">
        <f>IF(D33="SIM",E32+1,E32)</f>
        <v/>
      </c>
      <c r="F33" s="26" t="inlineStr"/>
    </row>
    <row r="34" ht="16" customHeight="1">
      <c r="A34" s="38" t="n">
        <v>44985</v>
      </c>
      <c r="B34" s="51">
        <f>RETORNOS_HIST!C305</f>
        <v/>
      </c>
      <c r="C34" s="41">
        <f>VaR_PARAMÉTRICO!E19</f>
        <v/>
      </c>
      <c r="D34" s="71">
        <f>IF(B34&lt;-C34,"SIM","NÃO")</f>
        <v/>
      </c>
      <c r="E34" s="62">
        <f>IF(D34="SIM",E33+1,E33)</f>
        <v/>
      </c>
      <c r="F34" s="22" t="inlineStr"/>
    </row>
    <row r="35" ht="16" customHeight="1">
      <c r="A35" s="35" t="n">
        <v>44986</v>
      </c>
      <c r="B35" s="52">
        <f>RETORNOS_HIST!C306</f>
        <v/>
      </c>
      <c r="C35" s="44">
        <f>VaR_PARAMÉTRICO!E19</f>
        <v/>
      </c>
      <c r="D35" s="70">
        <f>IF(B35&lt;-C35,"SIM","NÃO")</f>
        <v/>
      </c>
      <c r="E35" s="61">
        <f>IF(D35="SIM",E34+1,E34)</f>
        <v/>
      </c>
      <c r="F35" s="26" t="inlineStr"/>
    </row>
    <row r="36" ht="16" customHeight="1">
      <c r="A36" s="38" t="n">
        <v>44987</v>
      </c>
      <c r="B36" s="51">
        <f>RETORNOS_HIST!C307</f>
        <v/>
      </c>
      <c r="C36" s="41">
        <f>VaR_PARAMÉTRICO!E19</f>
        <v/>
      </c>
      <c r="D36" s="71">
        <f>IF(B36&lt;-C36,"SIM","NÃO")</f>
        <v/>
      </c>
      <c r="E36" s="62">
        <f>IF(D36="SIM",E35+1,E35)</f>
        <v/>
      </c>
      <c r="F36" s="22" t="inlineStr"/>
    </row>
    <row r="37" ht="16" customHeight="1">
      <c r="A37" s="35" t="n">
        <v>44988</v>
      </c>
      <c r="B37" s="52">
        <f>RETORNOS_HIST!C308</f>
        <v/>
      </c>
      <c r="C37" s="44">
        <f>VaR_PARAMÉTRICO!E19</f>
        <v/>
      </c>
      <c r="D37" s="70">
        <f>IF(B37&lt;-C37,"SIM","NÃO")</f>
        <v/>
      </c>
      <c r="E37" s="61">
        <f>IF(D37="SIM",E36+1,E36)</f>
        <v/>
      </c>
      <c r="F37" s="26" t="inlineStr"/>
    </row>
    <row r="38" ht="16" customHeight="1">
      <c r="A38" s="38" t="n">
        <v>44991</v>
      </c>
      <c r="B38" s="51">
        <f>RETORNOS_HIST!C309</f>
        <v/>
      </c>
      <c r="C38" s="41">
        <f>VaR_PARAMÉTRICO!E19</f>
        <v/>
      </c>
      <c r="D38" s="71">
        <f>IF(B38&lt;-C38,"SIM","NÃO")</f>
        <v/>
      </c>
      <c r="E38" s="62">
        <f>IF(D38="SIM",E37+1,E37)</f>
        <v/>
      </c>
      <c r="F38" s="22" t="inlineStr"/>
    </row>
    <row r="39" ht="16" customHeight="1">
      <c r="A39" s="35" t="n">
        <v>44992</v>
      </c>
      <c r="B39" s="52">
        <f>RETORNOS_HIST!C310</f>
        <v/>
      </c>
      <c r="C39" s="44">
        <f>VaR_PARAMÉTRICO!E19</f>
        <v/>
      </c>
      <c r="D39" s="70">
        <f>IF(B39&lt;-C39,"SIM","NÃO")</f>
        <v/>
      </c>
      <c r="E39" s="61">
        <f>IF(D39="SIM",E38+1,E38)</f>
        <v/>
      </c>
      <c r="F39" s="26" t="inlineStr"/>
    </row>
    <row r="40" ht="16" customHeight="1">
      <c r="A40" s="38" t="n">
        <v>44993</v>
      </c>
      <c r="B40" s="51">
        <f>RETORNOS_HIST!C311</f>
        <v/>
      </c>
      <c r="C40" s="41">
        <f>VaR_PARAMÉTRICO!E19</f>
        <v/>
      </c>
      <c r="D40" s="71">
        <f>IF(B40&lt;-C40,"SIM","NÃO")</f>
        <v/>
      </c>
      <c r="E40" s="62">
        <f>IF(D40="SIM",E39+1,E39)</f>
        <v/>
      </c>
      <c r="F40" s="22" t="inlineStr"/>
    </row>
    <row r="41" ht="16" customHeight="1">
      <c r="A41" s="35" t="n">
        <v>44994</v>
      </c>
      <c r="B41" s="52">
        <f>RETORNOS_HIST!C312</f>
        <v/>
      </c>
      <c r="C41" s="44">
        <f>VaR_PARAMÉTRICO!E19</f>
        <v/>
      </c>
      <c r="D41" s="70">
        <f>IF(B41&lt;-C41,"SIM","NÃO")</f>
        <v/>
      </c>
      <c r="E41" s="61">
        <f>IF(D41="SIM",E40+1,E40)</f>
        <v/>
      </c>
      <c r="F41" s="26" t="inlineStr"/>
    </row>
    <row r="42" ht="16" customHeight="1">
      <c r="A42" s="38" t="n">
        <v>44995</v>
      </c>
      <c r="B42" s="51">
        <f>RETORNOS_HIST!C313</f>
        <v/>
      </c>
      <c r="C42" s="41">
        <f>VaR_PARAMÉTRICO!E19</f>
        <v/>
      </c>
      <c r="D42" s="71">
        <f>IF(B42&lt;-C42,"SIM","NÃO")</f>
        <v/>
      </c>
      <c r="E42" s="62">
        <f>IF(D42="SIM",E41+1,E41)</f>
        <v/>
      </c>
      <c r="F42" s="22" t="inlineStr"/>
    </row>
    <row r="43" ht="16" customHeight="1">
      <c r="A43" s="35" t="n">
        <v>44998</v>
      </c>
      <c r="B43" s="52">
        <f>RETORNOS_HIST!C314</f>
        <v/>
      </c>
      <c r="C43" s="44">
        <f>VaR_PARAMÉTRICO!E19</f>
        <v/>
      </c>
      <c r="D43" s="70">
        <f>IF(B43&lt;-C43,"SIM","NÃO")</f>
        <v/>
      </c>
      <c r="E43" s="61">
        <f>IF(D43="SIM",E42+1,E42)</f>
        <v/>
      </c>
      <c r="F43" s="26" t="inlineStr"/>
    </row>
    <row r="44" ht="16" customHeight="1">
      <c r="A44" s="38" t="n">
        <v>44999</v>
      </c>
      <c r="B44" s="51">
        <f>RETORNOS_HIST!C315</f>
        <v/>
      </c>
      <c r="C44" s="41">
        <f>VaR_PARAMÉTRICO!E19</f>
        <v/>
      </c>
      <c r="D44" s="71">
        <f>IF(B44&lt;-C44,"SIM","NÃO")</f>
        <v/>
      </c>
      <c r="E44" s="62">
        <f>IF(D44="SIM",E43+1,E43)</f>
        <v/>
      </c>
      <c r="F44" s="22" t="inlineStr"/>
    </row>
    <row r="45" ht="16" customHeight="1">
      <c r="A45" s="35" t="n">
        <v>45000</v>
      </c>
      <c r="B45" s="52">
        <f>RETORNOS_HIST!C316</f>
        <v/>
      </c>
      <c r="C45" s="44">
        <f>VaR_PARAMÉTRICO!E19</f>
        <v/>
      </c>
      <c r="D45" s="70">
        <f>IF(B45&lt;-C45,"SIM","NÃO")</f>
        <v/>
      </c>
      <c r="E45" s="61">
        <f>IF(D45="SIM",E44+1,E44)</f>
        <v/>
      </c>
      <c r="F45" s="26" t="inlineStr"/>
    </row>
    <row r="46" ht="16" customHeight="1">
      <c r="A46" s="38" t="n">
        <v>45001</v>
      </c>
      <c r="B46" s="51">
        <f>RETORNOS_HIST!C317</f>
        <v/>
      </c>
      <c r="C46" s="41">
        <f>VaR_PARAMÉTRICO!E19</f>
        <v/>
      </c>
      <c r="D46" s="71">
        <f>IF(B46&lt;-C46,"SIM","NÃO")</f>
        <v/>
      </c>
      <c r="E46" s="62">
        <f>IF(D46="SIM",E45+1,E45)</f>
        <v/>
      </c>
      <c r="F46" s="22" t="inlineStr"/>
    </row>
    <row r="47" ht="16" customHeight="1">
      <c r="A47" s="35" t="n">
        <v>45002</v>
      </c>
      <c r="B47" s="52">
        <f>RETORNOS_HIST!C318</f>
        <v/>
      </c>
      <c r="C47" s="44">
        <f>VaR_PARAMÉTRICO!E19</f>
        <v/>
      </c>
      <c r="D47" s="70">
        <f>IF(B47&lt;-C47,"SIM","NÃO")</f>
        <v/>
      </c>
      <c r="E47" s="61">
        <f>IF(D47="SIM",E46+1,E46)</f>
        <v/>
      </c>
      <c r="F47" s="26" t="inlineStr"/>
    </row>
    <row r="48" ht="16" customHeight="1">
      <c r="A48" s="38" t="n">
        <v>45005</v>
      </c>
      <c r="B48" s="51">
        <f>RETORNOS_HIST!C319</f>
        <v/>
      </c>
      <c r="C48" s="41">
        <f>VaR_PARAMÉTRICO!E19</f>
        <v/>
      </c>
      <c r="D48" s="71">
        <f>IF(B48&lt;-C48,"SIM","NÃO")</f>
        <v/>
      </c>
      <c r="E48" s="62">
        <f>IF(D48="SIM",E47+1,E47)</f>
        <v/>
      </c>
      <c r="F48" s="22" t="inlineStr"/>
    </row>
    <row r="49" ht="16" customHeight="1">
      <c r="A49" s="35" t="n">
        <v>45006</v>
      </c>
      <c r="B49" s="52">
        <f>RETORNOS_HIST!C320</f>
        <v/>
      </c>
      <c r="C49" s="44">
        <f>VaR_PARAMÉTRICO!E19</f>
        <v/>
      </c>
      <c r="D49" s="70">
        <f>IF(B49&lt;-C49,"SIM","NÃO")</f>
        <v/>
      </c>
      <c r="E49" s="61">
        <f>IF(D49="SIM",E48+1,E48)</f>
        <v/>
      </c>
      <c r="F49" s="26" t="inlineStr"/>
    </row>
    <row r="50" ht="16" customHeight="1">
      <c r="A50" s="38" t="n">
        <v>45007</v>
      </c>
      <c r="B50" s="51">
        <f>RETORNOS_HIST!C321</f>
        <v/>
      </c>
      <c r="C50" s="41">
        <f>VaR_PARAMÉTRICO!E19</f>
        <v/>
      </c>
      <c r="D50" s="71">
        <f>IF(B50&lt;-C50,"SIM","NÃO")</f>
        <v/>
      </c>
      <c r="E50" s="62">
        <f>IF(D50="SIM",E49+1,E49)</f>
        <v/>
      </c>
      <c r="F50" s="22" t="inlineStr"/>
    </row>
    <row r="51" ht="16" customHeight="1">
      <c r="A51" s="35" t="n">
        <v>45008</v>
      </c>
      <c r="B51" s="52">
        <f>RETORNOS_HIST!C322</f>
        <v/>
      </c>
      <c r="C51" s="44">
        <f>VaR_PARAMÉTRICO!E19</f>
        <v/>
      </c>
      <c r="D51" s="70">
        <f>IF(B51&lt;-C51,"SIM","NÃO")</f>
        <v/>
      </c>
      <c r="E51" s="61">
        <f>IF(D51="SIM",E50+1,E50)</f>
        <v/>
      </c>
      <c r="F51" s="26" t="inlineStr"/>
    </row>
    <row r="52" ht="16" customHeight="1">
      <c r="A52" s="38" t="n">
        <v>45009</v>
      </c>
      <c r="B52" s="51">
        <f>RETORNOS_HIST!C323</f>
        <v/>
      </c>
      <c r="C52" s="41">
        <f>VaR_PARAMÉTRICO!E19</f>
        <v/>
      </c>
      <c r="D52" s="71">
        <f>IF(B52&lt;-C52,"SIM","NÃO")</f>
        <v/>
      </c>
      <c r="E52" s="62">
        <f>IF(D52="SIM",E51+1,E51)</f>
        <v/>
      </c>
      <c r="F52" s="22" t="inlineStr"/>
    </row>
    <row r="53" ht="16" customHeight="1">
      <c r="A53" s="35" t="n">
        <v>45012</v>
      </c>
      <c r="B53" s="52">
        <f>RETORNOS_HIST!C324</f>
        <v/>
      </c>
      <c r="C53" s="44">
        <f>VaR_PARAMÉTRICO!E19</f>
        <v/>
      </c>
      <c r="D53" s="70">
        <f>IF(B53&lt;-C53,"SIM","NÃO")</f>
        <v/>
      </c>
      <c r="E53" s="61">
        <f>IF(D53="SIM",E52+1,E52)</f>
        <v/>
      </c>
      <c r="F53" s="26" t="inlineStr"/>
    </row>
    <row r="54" ht="16" customHeight="1">
      <c r="A54" s="38" t="n">
        <v>45013</v>
      </c>
      <c r="B54" s="51">
        <f>RETORNOS_HIST!C325</f>
        <v/>
      </c>
      <c r="C54" s="41">
        <f>VaR_PARAMÉTRICO!E19</f>
        <v/>
      </c>
      <c r="D54" s="71">
        <f>IF(B54&lt;-C54,"SIM","NÃO")</f>
        <v/>
      </c>
      <c r="E54" s="62">
        <f>IF(D54="SIM",E53+1,E53)</f>
        <v/>
      </c>
      <c r="F54" s="22" t="inlineStr"/>
    </row>
    <row r="55" ht="16" customHeight="1">
      <c r="A55" s="35" t="n">
        <v>45014</v>
      </c>
      <c r="B55" s="52">
        <f>RETORNOS_HIST!C326</f>
        <v/>
      </c>
      <c r="C55" s="44">
        <f>VaR_PARAMÉTRICO!E19</f>
        <v/>
      </c>
      <c r="D55" s="70">
        <f>IF(B55&lt;-C55,"SIM","NÃO")</f>
        <v/>
      </c>
      <c r="E55" s="61">
        <f>IF(D55="SIM",E54+1,E54)</f>
        <v/>
      </c>
      <c r="F55" s="26" t="inlineStr"/>
    </row>
    <row r="56" ht="16" customHeight="1">
      <c r="A56" s="38" t="n">
        <v>45015</v>
      </c>
      <c r="B56" s="51">
        <f>RETORNOS_HIST!C327</f>
        <v/>
      </c>
      <c r="C56" s="41">
        <f>VaR_PARAMÉTRICO!E19</f>
        <v/>
      </c>
      <c r="D56" s="71">
        <f>IF(B56&lt;-C56,"SIM","NÃO")</f>
        <v/>
      </c>
      <c r="E56" s="62">
        <f>IF(D56="SIM",E55+1,E55)</f>
        <v/>
      </c>
      <c r="F56" s="22" t="inlineStr"/>
    </row>
    <row r="57" ht="16" customHeight="1">
      <c r="A57" s="35" t="n">
        <v>45016</v>
      </c>
      <c r="B57" s="52">
        <f>RETORNOS_HIST!C328</f>
        <v/>
      </c>
      <c r="C57" s="44">
        <f>VaR_PARAMÉTRICO!E19</f>
        <v/>
      </c>
      <c r="D57" s="70">
        <f>IF(B57&lt;-C57,"SIM","NÃO")</f>
        <v/>
      </c>
      <c r="E57" s="61">
        <f>IF(D57="SIM",E56+1,E56)</f>
        <v/>
      </c>
      <c r="F57" s="26" t="inlineStr"/>
    </row>
    <row r="58" ht="16" customHeight="1">
      <c r="A58" s="38" t="n">
        <v>45019</v>
      </c>
      <c r="B58" s="51">
        <f>RETORNOS_HIST!C329</f>
        <v/>
      </c>
      <c r="C58" s="41">
        <f>VaR_PARAMÉTRICO!E19</f>
        <v/>
      </c>
      <c r="D58" s="71">
        <f>IF(B58&lt;-C58,"SIM","NÃO")</f>
        <v/>
      </c>
      <c r="E58" s="62">
        <f>IF(D58="SIM",E57+1,E57)</f>
        <v/>
      </c>
      <c r="F58" s="22" t="inlineStr"/>
    </row>
    <row r="59" ht="16" customHeight="1">
      <c r="A59" s="35" t="n">
        <v>45020</v>
      </c>
      <c r="B59" s="52">
        <f>RETORNOS_HIST!C330</f>
        <v/>
      </c>
      <c r="C59" s="44">
        <f>VaR_PARAMÉTRICO!E19</f>
        <v/>
      </c>
      <c r="D59" s="70">
        <f>IF(B59&lt;-C59,"SIM","NÃO")</f>
        <v/>
      </c>
      <c r="E59" s="61">
        <f>IF(D59="SIM",E58+1,E58)</f>
        <v/>
      </c>
      <c r="F59" s="26" t="inlineStr"/>
    </row>
    <row r="60" ht="16" customHeight="1">
      <c r="A60" s="38" t="n">
        <v>45021</v>
      </c>
      <c r="B60" s="51">
        <f>RETORNOS_HIST!C331</f>
        <v/>
      </c>
      <c r="C60" s="41">
        <f>VaR_PARAMÉTRICO!E19</f>
        <v/>
      </c>
      <c r="D60" s="71">
        <f>IF(B60&lt;-C60,"SIM","NÃO")</f>
        <v/>
      </c>
      <c r="E60" s="62">
        <f>IF(D60="SIM",E59+1,E59)</f>
        <v/>
      </c>
      <c r="F60" s="22" t="inlineStr"/>
    </row>
    <row r="61" ht="16" customHeight="1">
      <c r="A61" s="35" t="n">
        <v>45022</v>
      </c>
      <c r="B61" s="52">
        <f>RETORNOS_HIST!C332</f>
        <v/>
      </c>
      <c r="C61" s="44">
        <f>VaR_PARAMÉTRICO!E19</f>
        <v/>
      </c>
      <c r="D61" s="70">
        <f>IF(B61&lt;-C61,"SIM","NÃO")</f>
        <v/>
      </c>
      <c r="E61" s="61">
        <f>IF(D61="SIM",E60+1,E60)</f>
        <v/>
      </c>
      <c r="F61" s="26" t="inlineStr"/>
    </row>
    <row r="62" ht="16" customHeight="1">
      <c r="A62" s="38" t="n">
        <v>45023</v>
      </c>
      <c r="B62" s="51">
        <f>RETORNOS_HIST!C333</f>
        <v/>
      </c>
      <c r="C62" s="41">
        <f>VaR_PARAMÉTRICO!E19</f>
        <v/>
      </c>
      <c r="D62" s="71">
        <f>IF(B62&lt;-C62,"SIM","NÃO")</f>
        <v/>
      </c>
      <c r="E62" s="62">
        <f>IF(D62="SIM",E61+1,E61)</f>
        <v/>
      </c>
      <c r="F62" s="22" t="inlineStr"/>
    </row>
    <row r="63" ht="16" customHeight="1">
      <c r="A63" s="35" t="n">
        <v>45026</v>
      </c>
      <c r="B63" s="52">
        <f>RETORNOS_HIST!C334</f>
        <v/>
      </c>
      <c r="C63" s="44">
        <f>VaR_PARAMÉTRICO!E19</f>
        <v/>
      </c>
      <c r="D63" s="70">
        <f>IF(B63&lt;-C63,"SIM","NÃO")</f>
        <v/>
      </c>
      <c r="E63" s="61">
        <f>IF(D63="SIM",E62+1,E62)</f>
        <v/>
      </c>
      <c r="F63" s="26" t="inlineStr"/>
    </row>
    <row r="64" ht="16" customHeight="1">
      <c r="A64" s="38" t="n">
        <v>45027</v>
      </c>
      <c r="B64" s="51">
        <f>RETORNOS_HIST!C335</f>
        <v/>
      </c>
      <c r="C64" s="41">
        <f>VaR_PARAMÉTRICO!E19</f>
        <v/>
      </c>
      <c r="D64" s="71">
        <f>IF(B64&lt;-C64,"SIM","NÃO")</f>
        <v/>
      </c>
      <c r="E64" s="62">
        <f>IF(D64="SIM",E63+1,E63)</f>
        <v/>
      </c>
      <c r="F64" s="22" t="inlineStr"/>
    </row>
    <row r="65" ht="16" customHeight="1">
      <c r="A65" s="35" t="n">
        <v>45028</v>
      </c>
      <c r="B65" s="52">
        <f>RETORNOS_HIST!C336</f>
        <v/>
      </c>
      <c r="C65" s="44">
        <f>VaR_PARAMÉTRICO!E19</f>
        <v/>
      </c>
      <c r="D65" s="70">
        <f>IF(B65&lt;-C65,"SIM","NÃO")</f>
        <v/>
      </c>
      <c r="E65" s="61">
        <f>IF(D65="SIM",E64+1,E64)</f>
        <v/>
      </c>
      <c r="F65" s="26" t="inlineStr"/>
    </row>
    <row r="66" ht="16" customHeight="1">
      <c r="A66" s="38" t="n">
        <v>45029</v>
      </c>
      <c r="B66" s="51">
        <f>RETORNOS_HIST!C337</f>
        <v/>
      </c>
      <c r="C66" s="41">
        <f>VaR_PARAMÉTRICO!E19</f>
        <v/>
      </c>
      <c r="D66" s="71">
        <f>IF(B66&lt;-C66,"SIM","NÃO")</f>
        <v/>
      </c>
      <c r="E66" s="62">
        <f>IF(D66="SIM",E65+1,E65)</f>
        <v/>
      </c>
      <c r="F66" s="22" t="inlineStr"/>
    </row>
    <row r="67" ht="16" customHeight="1">
      <c r="A67" s="35" t="n">
        <v>45030</v>
      </c>
      <c r="B67" s="52">
        <f>RETORNOS_HIST!C338</f>
        <v/>
      </c>
      <c r="C67" s="44">
        <f>VaR_PARAMÉTRICO!E19</f>
        <v/>
      </c>
      <c r="D67" s="70">
        <f>IF(B67&lt;-C67,"SIM","NÃO")</f>
        <v/>
      </c>
      <c r="E67" s="61">
        <f>IF(D67="SIM",E66+1,E66)</f>
        <v/>
      </c>
      <c r="F67" s="26" t="inlineStr"/>
    </row>
    <row r="68" ht="16" customHeight="1">
      <c r="A68" s="38" t="n">
        <v>45033</v>
      </c>
      <c r="B68" s="51">
        <f>RETORNOS_HIST!C339</f>
        <v/>
      </c>
      <c r="C68" s="41">
        <f>VaR_PARAMÉTRICO!E19</f>
        <v/>
      </c>
      <c r="D68" s="71">
        <f>IF(B68&lt;-C68,"SIM","NÃO")</f>
        <v/>
      </c>
      <c r="E68" s="62">
        <f>IF(D68="SIM",E67+1,E67)</f>
        <v/>
      </c>
      <c r="F68" s="22" t="inlineStr"/>
    </row>
    <row r="69" ht="16" customHeight="1">
      <c r="A69" s="35" t="n">
        <v>45034</v>
      </c>
      <c r="B69" s="52">
        <f>RETORNOS_HIST!C340</f>
        <v/>
      </c>
      <c r="C69" s="44">
        <f>VaR_PARAMÉTRICO!E19</f>
        <v/>
      </c>
      <c r="D69" s="70">
        <f>IF(B69&lt;-C69,"SIM","NÃO")</f>
        <v/>
      </c>
      <c r="E69" s="61">
        <f>IF(D69="SIM",E68+1,E68)</f>
        <v/>
      </c>
      <c r="F69" s="26" t="inlineStr"/>
    </row>
    <row r="70" ht="16" customHeight="1">
      <c r="A70" s="38" t="n">
        <v>45035</v>
      </c>
      <c r="B70" s="51">
        <f>RETORNOS_HIST!C341</f>
        <v/>
      </c>
      <c r="C70" s="41">
        <f>VaR_PARAMÉTRICO!E19</f>
        <v/>
      </c>
      <c r="D70" s="71">
        <f>IF(B70&lt;-C70,"SIM","NÃO")</f>
        <v/>
      </c>
      <c r="E70" s="62">
        <f>IF(D70="SIM",E69+1,E69)</f>
        <v/>
      </c>
      <c r="F70" s="22" t="inlineStr"/>
    </row>
    <row r="71" ht="16" customHeight="1">
      <c r="A71" s="35" t="n">
        <v>45036</v>
      </c>
      <c r="B71" s="52">
        <f>RETORNOS_HIST!C342</f>
        <v/>
      </c>
      <c r="C71" s="44">
        <f>VaR_PARAMÉTRICO!E19</f>
        <v/>
      </c>
      <c r="D71" s="70">
        <f>IF(B71&lt;-C71,"SIM","NÃO")</f>
        <v/>
      </c>
      <c r="E71" s="61">
        <f>IF(D71="SIM",E70+1,E70)</f>
        <v/>
      </c>
      <c r="F71" s="26" t="inlineStr"/>
    </row>
    <row r="72" ht="16" customHeight="1">
      <c r="A72" s="38" t="n">
        <v>45037</v>
      </c>
      <c r="B72" s="51">
        <f>RETORNOS_HIST!C343</f>
        <v/>
      </c>
      <c r="C72" s="41">
        <f>VaR_PARAMÉTRICO!E19</f>
        <v/>
      </c>
      <c r="D72" s="71">
        <f>IF(B72&lt;-C72,"SIM","NÃO")</f>
        <v/>
      </c>
      <c r="E72" s="62">
        <f>IF(D72="SIM",E71+1,E71)</f>
        <v/>
      </c>
      <c r="F72" s="22" t="inlineStr"/>
    </row>
    <row r="73" ht="16" customHeight="1">
      <c r="A73" s="35" t="n">
        <v>45040</v>
      </c>
      <c r="B73" s="52">
        <f>RETORNOS_HIST!C344</f>
        <v/>
      </c>
      <c r="C73" s="44">
        <f>VaR_PARAMÉTRICO!E19</f>
        <v/>
      </c>
      <c r="D73" s="70">
        <f>IF(B73&lt;-C73,"SIM","NÃO")</f>
        <v/>
      </c>
      <c r="E73" s="61">
        <f>IF(D73="SIM",E72+1,E72)</f>
        <v/>
      </c>
      <c r="F73" s="26" t="inlineStr"/>
    </row>
    <row r="74" ht="16" customHeight="1">
      <c r="A74" s="38" t="n">
        <v>45041</v>
      </c>
      <c r="B74" s="51">
        <f>RETORNOS_HIST!C345</f>
        <v/>
      </c>
      <c r="C74" s="41">
        <f>VaR_PARAMÉTRICO!E19</f>
        <v/>
      </c>
      <c r="D74" s="71">
        <f>IF(B74&lt;-C74,"SIM","NÃO")</f>
        <v/>
      </c>
      <c r="E74" s="62">
        <f>IF(D74="SIM",E73+1,E73)</f>
        <v/>
      </c>
      <c r="F74" s="22" t="inlineStr"/>
    </row>
    <row r="75" ht="16" customHeight="1">
      <c r="A75" s="35" t="n">
        <v>45042</v>
      </c>
      <c r="B75" s="52">
        <f>RETORNOS_HIST!C346</f>
        <v/>
      </c>
      <c r="C75" s="44">
        <f>VaR_PARAMÉTRICO!E19</f>
        <v/>
      </c>
      <c r="D75" s="70">
        <f>IF(B75&lt;-C75,"SIM","NÃO")</f>
        <v/>
      </c>
      <c r="E75" s="61">
        <f>IF(D75="SIM",E74+1,E74)</f>
        <v/>
      </c>
      <c r="F75" s="26" t="inlineStr"/>
    </row>
    <row r="76" ht="16" customHeight="1">
      <c r="A76" s="38" t="n">
        <v>45043</v>
      </c>
      <c r="B76" s="51">
        <f>RETORNOS_HIST!C347</f>
        <v/>
      </c>
      <c r="C76" s="41">
        <f>VaR_PARAMÉTRICO!E19</f>
        <v/>
      </c>
      <c r="D76" s="71">
        <f>IF(B76&lt;-C76,"SIM","NÃO")</f>
        <v/>
      </c>
      <c r="E76" s="62">
        <f>IF(D76="SIM",E75+1,E75)</f>
        <v/>
      </c>
      <c r="F76" s="22" t="inlineStr"/>
    </row>
    <row r="77" ht="16" customHeight="1">
      <c r="A77" s="35" t="n">
        <v>45044</v>
      </c>
      <c r="B77" s="52">
        <f>RETORNOS_HIST!C348</f>
        <v/>
      </c>
      <c r="C77" s="44">
        <f>VaR_PARAMÉTRICO!E19</f>
        <v/>
      </c>
      <c r="D77" s="70">
        <f>IF(B77&lt;-C77,"SIM","NÃO")</f>
        <v/>
      </c>
      <c r="E77" s="61">
        <f>IF(D77="SIM",E76+1,E76)</f>
        <v/>
      </c>
      <c r="F77" s="26" t="inlineStr"/>
    </row>
    <row r="78" ht="16" customHeight="1">
      <c r="A78" s="38" t="n">
        <v>45047</v>
      </c>
      <c r="B78" s="51">
        <f>RETORNOS_HIST!C349</f>
        <v/>
      </c>
      <c r="C78" s="41">
        <f>VaR_PARAMÉTRICO!E19</f>
        <v/>
      </c>
      <c r="D78" s="71">
        <f>IF(B78&lt;-C78,"SIM","NÃO")</f>
        <v/>
      </c>
      <c r="E78" s="62">
        <f>IF(D78="SIM",E77+1,E77)</f>
        <v/>
      </c>
      <c r="F78" s="22" t="inlineStr"/>
    </row>
    <row r="79" ht="16" customHeight="1">
      <c r="A79" s="35" t="n">
        <v>45048</v>
      </c>
      <c r="B79" s="52">
        <f>RETORNOS_HIST!C350</f>
        <v/>
      </c>
      <c r="C79" s="44">
        <f>VaR_PARAMÉTRICO!E19</f>
        <v/>
      </c>
      <c r="D79" s="70">
        <f>IF(B79&lt;-C79,"SIM","NÃO")</f>
        <v/>
      </c>
      <c r="E79" s="61">
        <f>IF(D79="SIM",E78+1,E78)</f>
        <v/>
      </c>
      <c r="F79" s="26" t="inlineStr"/>
    </row>
    <row r="80" ht="16" customHeight="1">
      <c r="A80" s="38" t="n">
        <v>45049</v>
      </c>
      <c r="B80" s="51">
        <f>RETORNOS_HIST!C351</f>
        <v/>
      </c>
      <c r="C80" s="41">
        <f>VaR_PARAMÉTRICO!E19</f>
        <v/>
      </c>
      <c r="D80" s="71">
        <f>IF(B80&lt;-C80,"SIM","NÃO")</f>
        <v/>
      </c>
      <c r="E80" s="62">
        <f>IF(D80="SIM",E79+1,E79)</f>
        <v/>
      </c>
      <c r="F80" s="22" t="inlineStr"/>
    </row>
    <row r="81" ht="16" customHeight="1">
      <c r="A81" s="35" t="n">
        <v>45050</v>
      </c>
      <c r="B81" s="52">
        <f>RETORNOS_HIST!C352</f>
        <v/>
      </c>
      <c r="C81" s="44">
        <f>VaR_PARAMÉTRICO!E19</f>
        <v/>
      </c>
      <c r="D81" s="70">
        <f>IF(B81&lt;-C81,"SIM","NÃO")</f>
        <v/>
      </c>
      <c r="E81" s="61">
        <f>IF(D81="SIM",E80+1,E80)</f>
        <v/>
      </c>
      <c r="F81" s="26" t="inlineStr"/>
    </row>
    <row r="82" ht="16" customHeight="1">
      <c r="A82" s="38" t="n">
        <v>45051</v>
      </c>
      <c r="B82" s="51">
        <f>RETORNOS_HIST!C353</f>
        <v/>
      </c>
      <c r="C82" s="41">
        <f>VaR_PARAMÉTRICO!E19</f>
        <v/>
      </c>
      <c r="D82" s="71">
        <f>IF(B82&lt;-C82,"SIM","NÃO")</f>
        <v/>
      </c>
      <c r="E82" s="62">
        <f>IF(D82="SIM",E81+1,E81)</f>
        <v/>
      </c>
      <c r="F82" s="22" t="inlineStr"/>
    </row>
    <row r="83" ht="16" customHeight="1">
      <c r="A83" s="35" t="n">
        <v>45054</v>
      </c>
      <c r="B83" s="52">
        <f>RETORNOS_HIST!C354</f>
        <v/>
      </c>
      <c r="C83" s="44">
        <f>VaR_PARAMÉTRICO!E19</f>
        <v/>
      </c>
      <c r="D83" s="70">
        <f>IF(B83&lt;-C83,"SIM","NÃO")</f>
        <v/>
      </c>
      <c r="E83" s="61">
        <f>IF(D83="SIM",E82+1,E82)</f>
        <v/>
      </c>
      <c r="F83" s="26" t="inlineStr"/>
    </row>
    <row r="84" ht="16" customHeight="1">
      <c r="A84" s="38" t="n">
        <v>45055</v>
      </c>
      <c r="B84" s="51">
        <f>RETORNOS_HIST!C355</f>
        <v/>
      </c>
      <c r="C84" s="41">
        <f>VaR_PARAMÉTRICO!E19</f>
        <v/>
      </c>
      <c r="D84" s="71">
        <f>IF(B84&lt;-C84,"SIM","NÃO")</f>
        <v/>
      </c>
      <c r="E84" s="62">
        <f>IF(D84="SIM",E83+1,E83)</f>
        <v/>
      </c>
      <c r="F84" s="22" t="inlineStr"/>
    </row>
    <row r="85" ht="16" customHeight="1">
      <c r="A85" s="35" t="n">
        <v>45056</v>
      </c>
      <c r="B85" s="52">
        <f>RETORNOS_HIST!C356</f>
        <v/>
      </c>
      <c r="C85" s="44">
        <f>VaR_PARAMÉTRICO!E19</f>
        <v/>
      </c>
      <c r="D85" s="70">
        <f>IF(B85&lt;-C85,"SIM","NÃO")</f>
        <v/>
      </c>
      <c r="E85" s="61">
        <f>IF(D85="SIM",E84+1,E84)</f>
        <v/>
      </c>
      <c r="F85" s="26" t="inlineStr"/>
    </row>
    <row r="86" ht="16" customHeight="1">
      <c r="A86" s="38" t="n">
        <v>45057</v>
      </c>
      <c r="B86" s="51">
        <f>RETORNOS_HIST!C357</f>
        <v/>
      </c>
      <c r="C86" s="41">
        <f>VaR_PARAMÉTRICO!E19</f>
        <v/>
      </c>
      <c r="D86" s="71">
        <f>IF(B86&lt;-C86,"SIM","NÃO")</f>
        <v/>
      </c>
      <c r="E86" s="62">
        <f>IF(D86="SIM",E85+1,E85)</f>
        <v/>
      </c>
      <c r="F86" s="22" t="inlineStr"/>
    </row>
    <row r="87" ht="16" customHeight="1">
      <c r="A87" s="35" t="n">
        <v>45058</v>
      </c>
      <c r="B87" s="52">
        <f>RETORNOS_HIST!C358</f>
        <v/>
      </c>
      <c r="C87" s="44">
        <f>VaR_PARAMÉTRICO!E19</f>
        <v/>
      </c>
      <c r="D87" s="70">
        <f>IF(B87&lt;-C87,"SIM","NÃO")</f>
        <v/>
      </c>
      <c r="E87" s="61">
        <f>IF(D87="SIM",E86+1,E86)</f>
        <v/>
      </c>
      <c r="F87" s="26" t="inlineStr"/>
    </row>
    <row r="88" ht="16" customHeight="1">
      <c r="A88" s="38" t="n">
        <v>45061</v>
      </c>
      <c r="B88" s="51">
        <f>RETORNOS_HIST!C359</f>
        <v/>
      </c>
      <c r="C88" s="41">
        <f>VaR_PARAMÉTRICO!E19</f>
        <v/>
      </c>
      <c r="D88" s="71">
        <f>IF(B88&lt;-C88,"SIM","NÃO")</f>
        <v/>
      </c>
      <c r="E88" s="62">
        <f>IF(D88="SIM",E87+1,E87)</f>
        <v/>
      </c>
      <c r="F88" s="22" t="inlineStr"/>
    </row>
    <row r="89" ht="16" customHeight="1">
      <c r="A89" s="35" t="n">
        <v>45062</v>
      </c>
      <c r="B89" s="52">
        <f>RETORNOS_HIST!C360</f>
        <v/>
      </c>
      <c r="C89" s="44">
        <f>VaR_PARAMÉTRICO!E19</f>
        <v/>
      </c>
      <c r="D89" s="70">
        <f>IF(B89&lt;-C89,"SIM","NÃO")</f>
        <v/>
      </c>
      <c r="E89" s="61">
        <f>IF(D89="SIM",E88+1,E88)</f>
        <v/>
      </c>
      <c r="F89" s="26" t="inlineStr"/>
    </row>
    <row r="90" ht="16" customHeight="1">
      <c r="A90" s="38" t="n">
        <v>45063</v>
      </c>
      <c r="B90" s="51">
        <f>RETORNOS_HIST!C361</f>
        <v/>
      </c>
      <c r="C90" s="41">
        <f>VaR_PARAMÉTRICO!E19</f>
        <v/>
      </c>
      <c r="D90" s="71">
        <f>IF(B90&lt;-C90,"SIM","NÃO")</f>
        <v/>
      </c>
      <c r="E90" s="62">
        <f>IF(D90="SIM",E89+1,E89)</f>
        <v/>
      </c>
      <c r="F90" s="22" t="inlineStr"/>
    </row>
    <row r="91" ht="16" customHeight="1">
      <c r="A91" s="35" t="n">
        <v>45064</v>
      </c>
      <c r="B91" s="52">
        <f>RETORNOS_HIST!C362</f>
        <v/>
      </c>
      <c r="C91" s="44">
        <f>VaR_PARAMÉTRICO!E19</f>
        <v/>
      </c>
      <c r="D91" s="70">
        <f>IF(B91&lt;-C91,"SIM","NÃO")</f>
        <v/>
      </c>
      <c r="E91" s="61">
        <f>IF(D91="SIM",E90+1,E90)</f>
        <v/>
      </c>
      <c r="F91" s="26" t="inlineStr"/>
    </row>
    <row r="92" ht="16" customHeight="1">
      <c r="A92" s="38" t="n">
        <v>45065</v>
      </c>
      <c r="B92" s="51">
        <f>RETORNOS_HIST!C363</f>
        <v/>
      </c>
      <c r="C92" s="41">
        <f>VaR_PARAMÉTRICO!E19</f>
        <v/>
      </c>
      <c r="D92" s="71">
        <f>IF(B92&lt;-C92,"SIM","NÃO")</f>
        <v/>
      </c>
      <c r="E92" s="62">
        <f>IF(D92="SIM",E91+1,E91)</f>
        <v/>
      </c>
      <c r="F92" s="22" t="inlineStr"/>
    </row>
    <row r="93" ht="16" customHeight="1">
      <c r="A93" s="35" t="n">
        <v>45068</v>
      </c>
      <c r="B93" s="52">
        <f>RETORNOS_HIST!C364</f>
        <v/>
      </c>
      <c r="C93" s="44">
        <f>VaR_PARAMÉTRICO!E19</f>
        <v/>
      </c>
      <c r="D93" s="70">
        <f>IF(B93&lt;-C93,"SIM","NÃO")</f>
        <v/>
      </c>
      <c r="E93" s="61">
        <f>IF(D93="SIM",E92+1,E92)</f>
        <v/>
      </c>
      <c r="F93" s="26" t="inlineStr"/>
    </row>
    <row r="94" ht="16" customHeight="1">
      <c r="A94" s="38" t="n">
        <v>45069</v>
      </c>
      <c r="B94" s="51">
        <f>RETORNOS_HIST!C365</f>
        <v/>
      </c>
      <c r="C94" s="41">
        <f>VaR_PARAMÉTRICO!E19</f>
        <v/>
      </c>
      <c r="D94" s="71">
        <f>IF(B94&lt;-C94,"SIM","NÃO")</f>
        <v/>
      </c>
      <c r="E94" s="62">
        <f>IF(D94="SIM",E93+1,E93)</f>
        <v/>
      </c>
      <c r="F94" s="22" t="inlineStr"/>
    </row>
    <row r="95" ht="16" customHeight="1">
      <c r="A95" s="35" t="n">
        <v>45070</v>
      </c>
      <c r="B95" s="52">
        <f>RETORNOS_HIST!C366</f>
        <v/>
      </c>
      <c r="C95" s="44">
        <f>VaR_PARAMÉTRICO!E19</f>
        <v/>
      </c>
      <c r="D95" s="70">
        <f>IF(B95&lt;-C95,"SIM","NÃO")</f>
        <v/>
      </c>
      <c r="E95" s="61">
        <f>IF(D95="SIM",E94+1,E94)</f>
        <v/>
      </c>
      <c r="F95" s="26" t="inlineStr"/>
    </row>
    <row r="96" ht="16" customHeight="1">
      <c r="A96" s="38" t="n">
        <v>45071</v>
      </c>
      <c r="B96" s="51">
        <f>RETORNOS_HIST!C367</f>
        <v/>
      </c>
      <c r="C96" s="41">
        <f>VaR_PARAMÉTRICO!E19</f>
        <v/>
      </c>
      <c r="D96" s="71">
        <f>IF(B96&lt;-C96,"SIM","NÃO")</f>
        <v/>
      </c>
      <c r="E96" s="62">
        <f>IF(D96="SIM",E95+1,E95)</f>
        <v/>
      </c>
      <c r="F96" s="22" t="inlineStr"/>
    </row>
    <row r="97" ht="16" customHeight="1">
      <c r="A97" s="35" t="n">
        <v>45072</v>
      </c>
      <c r="B97" s="52">
        <f>RETORNOS_HIST!C368</f>
        <v/>
      </c>
      <c r="C97" s="44">
        <f>VaR_PARAMÉTRICO!E19</f>
        <v/>
      </c>
      <c r="D97" s="70">
        <f>IF(B97&lt;-C97,"SIM","NÃO")</f>
        <v/>
      </c>
      <c r="E97" s="61">
        <f>IF(D97="SIM",E96+1,E96)</f>
        <v/>
      </c>
      <c r="F97" s="26" t="inlineStr"/>
    </row>
    <row r="98" ht="16" customHeight="1">
      <c r="A98" s="38" t="n">
        <v>45075</v>
      </c>
      <c r="B98" s="51">
        <f>RETORNOS_HIST!C369</f>
        <v/>
      </c>
      <c r="C98" s="41">
        <f>VaR_PARAMÉTRICO!E19</f>
        <v/>
      </c>
      <c r="D98" s="71">
        <f>IF(B98&lt;-C98,"SIM","NÃO")</f>
        <v/>
      </c>
      <c r="E98" s="62">
        <f>IF(D98="SIM",E97+1,E97)</f>
        <v/>
      </c>
      <c r="F98" s="22" t="inlineStr"/>
    </row>
    <row r="99" ht="16" customHeight="1">
      <c r="A99" s="35" t="n">
        <v>45076</v>
      </c>
      <c r="B99" s="52">
        <f>RETORNOS_HIST!C370</f>
        <v/>
      </c>
      <c r="C99" s="44">
        <f>VaR_PARAMÉTRICO!E19</f>
        <v/>
      </c>
      <c r="D99" s="70">
        <f>IF(B99&lt;-C99,"SIM","NÃO")</f>
        <v/>
      </c>
      <c r="E99" s="61">
        <f>IF(D99="SIM",E98+1,E98)</f>
        <v/>
      </c>
      <c r="F99" s="26" t="inlineStr"/>
    </row>
    <row r="100" ht="16" customHeight="1">
      <c r="A100" s="38" t="n">
        <v>45077</v>
      </c>
      <c r="B100" s="51">
        <f>RETORNOS_HIST!C371</f>
        <v/>
      </c>
      <c r="C100" s="41">
        <f>VaR_PARAMÉTRICO!E19</f>
        <v/>
      </c>
      <c r="D100" s="71">
        <f>IF(B100&lt;-C100,"SIM","NÃO")</f>
        <v/>
      </c>
      <c r="E100" s="62">
        <f>IF(D100="SIM",E99+1,E99)</f>
        <v/>
      </c>
      <c r="F100" s="22" t="inlineStr"/>
    </row>
    <row r="101" ht="16" customHeight="1">
      <c r="A101" s="35" t="n">
        <v>45078</v>
      </c>
      <c r="B101" s="52">
        <f>RETORNOS_HIST!C372</f>
        <v/>
      </c>
      <c r="C101" s="44">
        <f>VaR_PARAMÉTRICO!E19</f>
        <v/>
      </c>
      <c r="D101" s="70">
        <f>IF(B101&lt;-C101,"SIM","NÃO")</f>
        <v/>
      </c>
      <c r="E101" s="61">
        <f>IF(D101="SIM",E100+1,E100)</f>
        <v/>
      </c>
      <c r="F101" s="26" t="inlineStr"/>
    </row>
    <row r="102" ht="16" customHeight="1">
      <c r="A102" s="38" t="n">
        <v>45079</v>
      </c>
      <c r="B102" s="51">
        <f>RETORNOS_HIST!C373</f>
        <v/>
      </c>
      <c r="C102" s="41">
        <f>VaR_PARAMÉTRICO!E19</f>
        <v/>
      </c>
      <c r="D102" s="71">
        <f>IF(B102&lt;-C102,"SIM","NÃO")</f>
        <v/>
      </c>
      <c r="E102" s="62">
        <f>IF(D102="SIM",E101+1,E101)</f>
        <v/>
      </c>
      <c r="F102" s="22" t="inlineStr"/>
    </row>
    <row r="103" ht="16" customHeight="1">
      <c r="A103" s="35" t="n">
        <v>45082</v>
      </c>
      <c r="B103" s="52">
        <f>RETORNOS_HIST!C374</f>
        <v/>
      </c>
      <c r="C103" s="44">
        <f>VaR_PARAMÉTRICO!E19</f>
        <v/>
      </c>
      <c r="D103" s="70">
        <f>IF(B103&lt;-C103,"SIM","NÃO")</f>
        <v/>
      </c>
      <c r="E103" s="61">
        <f>IF(D103="SIM",E102+1,E102)</f>
        <v/>
      </c>
      <c r="F103" s="26" t="inlineStr"/>
    </row>
    <row r="104" ht="16" customHeight="1">
      <c r="A104" s="38" t="n">
        <v>45083</v>
      </c>
      <c r="B104" s="51">
        <f>RETORNOS_HIST!C375</f>
        <v/>
      </c>
      <c r="C104" s="41">
        <f>VaR_PARAMÉTRICO!E19</f>
        <v/>
      </c>
      <c r="D104" s="71">
        <f>IF(B104&lt;-C104,"SIM","NÃO")</f>
        <v/>
      </c>
      <c r="E104" s="62">
        <f>IF(D104="SIM",E103+1,E103)</f>
        <v/>
      </c>
      <c r="F104" s="22" t="inlineStr"/>
    </row>
    <row r="105" ht="16" customHeight="1">
      <c r="A105" s="35" t="n">
        <v>45084</v>
      </c>
      <c r="B105" s="52">
        <f>RETORNOS_HIST!C376</f>
        <v/>
      </c>
      <c r="C105" s="44">
        <f>VaR_PARAMÉTRICO!E19</f>
        <v/>
      </c>
      <c r="D105" s="70">
        <f>IF(B105&lt;-C105,"SIM","NÃO")</f>
        <v/>
      </c>
      <c r="E105" s="61">
        <f>IF(D105="SIM",E104+1,E104)</f>
        <v/>
      </c>
      <c r="F105" s="26" t="inlineStr"/>
    </row>
    <row r="106" ht="16" customHeight="1">
      <c r="A106" s="38" t="n">
        <v>45085</v>
      </c>
      <c r="B106" s="51">
        <f>RETORNOS_HIST!C377</f>
        <v/>
      </c>
      <c r="C106" s="41">
        <f>VaR_PARAMÉTRICO!E19</f>
        <v/>
      </c>
      <c r="D106" s="71">
        <f>IF(B106&lt;-C106,"SIM","NÃO")</f>
        <v/>
      </c>
      <c r="E106" s="62">
        <f>IF(D106="SIM",E105+1,E105)</f>
        <v/>
      </c>
      <c r="F106" s="22" t="inlineStr"/>
    </row>
    <row r="107" ht="16" customHeight="1">
      <c r="A107" s="35" t="n">
        <v>45086</v>
      </c>
      <c r="B107" s="52">
        <f>RETORNOS_HIST!C378</f>
        <v/>
      </c>
      <c r="C107" s="44">
        <f>VaR_PARAMÉTRICO!E19</f>
        <v/>
      </c>
      <c r="D107" s="70">
        <f>IF(B107&lt;-C107,"SIM","NÃO")</f>
        <v/>
      </c>
      <c r="E107" s="61">
        <f>IF(D107="SIM",E106+1,E106)</f>
        <v/>
      </c>
      <c r="F107" s="26" t="inlineStr"/>
    </row>
    <row r="108" ht="16" customHeight="1">
      <c r="A108" s="38" t="n">
        <v>45089</v>
      </c>
      <c r="B108" s="51">
        <f>RETORNOS_HIST!C379</f>
        <v/>
      </c>
      <c r="C108" s="41">
        <f>VaR_PARAMÉTRICO!E19</f>
        <v/>
      </c>
      <c r="D108" s="71">
        <f>IF(B108&lt;-C108,"SIM","NÃO")</f>
        <v/>
      </c>
      <c r="E108" s="62">
        <f>IF(D108="SIM",E107+1,E107)</f>
        <v/>
      </c>
      <c r="F108" s="22" t="inlineStr"/>
    </row>
    <row r="109" ht="16" customHeight="1">
      <c r="A109" s="35" t="n">
        <v>45090</v>
      </c>
      <c r="B109" s="52">
        <f>RETORNOS_HIST!C380</f>
        <v/>
      </c>
      <c r="C109" s="44">
        <f>VaR_PARAMÉTRICO!E19</f>
        <v/>
      </c>
      <c r="D109" s="70">
        <f>IF(B109&lt;-C109,"SIM","NÃO")</f>
        <v/>
      </c>
      <c r="E109" s="61">
        <f>IF(D109="SIM",E108+1,E108)</f>
        <v/>
      </c>
      <c r="F109" s="26" t="inlineStr"/>
    </row>
    <row r="110" ht="16" customHeight="1">
      <c r="A110" s="38" t="n">
        <v>45091</v>
      </c>
      <c r="B110" s="51">
        <f>RETORNOS_HIST!C381</f>
        <v/>
      </c>
      <c r="C110" s="41">
        <f>VaR_PARAMÉTRICO!E19</f>
        <v/>
      </c>
      <c r="D110" s="71">
        <f>IF(B110&lt;-C110,"SIM","NÃO")</f>
        <v/>
      </c>
      <c r="E110" s="62">
        <f>IF(D110="SIM",E109+1,E109)</f>
        <v/>
      </c>
      <c r="F110" s="22" t="inlineStr"/>
    </row>
    <row r="111" ht="16" customHeight="1">
      <c r="A111" s="35" t="n">
        <v>45092</v>
      </c>
      <c r="B111" s="52">
        <f>RETORNOS_HIST!C382</f>
        <v/>
      </c>
      <c r="C111" s="44">
        <f>VaR_PARAMÉTRICO!E19</f>
        <v/>
      </c>
      <c r="D111" s="70">
        <f>IF(B111&lt;-C111,"SIM","NÃO")</f>
        <v/>
      </c>
      <c r="E111" s="61">
        <f>IF(D111="SIM",E110+1,E110)</f>
        <v/>
      </c>
      <c r="F111" s="26" t="inlineStr"/>
    </row>
    <row r="112" ht="16" customHeight="1">
      <c r="A112" s="38" t="n">
        <v>45093</v>
      </c>
      <c r="B112" s="51">
        <f>RETORNOS_HIST!C383</f>
        <v/>
      </c>
      <c r="C112" s="41">
        <f>VaR_PARAMÉTRICO!E19</f>
        <v/>
      </c>
      <c r="D112" s="71">
        <f>IF(B112&lt;-C112,"SIM","NÃO")</f>
        <v/>
      </c>
      <c r="E112" s="62">
        <f>IF(D112="SIM",E111+1,E111)</f>
        <v/>
      </c>
      <c r="F112" s="22" t="inlineStr"/>
    </row>
    <row r="113" ht="16" customHeight="1">
      <c r="A113" s="35" t="n">
        <v>45096</v>
      </c>
      <c r="B113" s="52">
        <f>RETORNOS_HIST!C384</f>
        <v/>
      </c>
      <c r="C113" s="44">
        <f>VaR_PARAMÉTRICO!E19</f>
        <v/>
      </c>
      <c r="D113" s="70">
        <f>IF(B113&lt;-C113,"SIM","NÃO")</f>
        <v/>
      </c>
      <c r="E113" s="61">
        <f>IF(D113="SIM",E112+1,E112)</f>
        <v/>
      </c>
      <c r="F113" s="26" t="inlineStr"/>
    </row>
    <row r="114" ht="16" customHeight="1">
      <c r="A114" s="38" t="n">
        <v>45097</v>
      </c>
      <c r="B114" s="51">
        <f>RETORNOS_HIST!C385</f>
        <v/>
      </c>
      <c r="C114" s="41">
        <f>VaR_PARAMÉTRICO!E19</f>
        <v/>
      </c>
      <c r="D114" s="71">
        <f>IF(B114&lt;-C114,"SIM","NÃO")</f>
        <v/>
      </c>
      <c r="E114" s="62">
        <f>IF(D114="SIM",E113+1,E113)</f>
        <v/>
      </c>
      <c r="F114" s="22" t="inlineStr"/>
    </row>
    <row r="115" ht="16" customHeight="1">
      <c r="A115" s="35" t="n">
        <v>45098</v>
      </c>
      <c r="B115" s="52">
        <f>RETORNOS_HIST!C386</f>
        <v/>
      </c>
      <c r="C115" s="44">
        <f>VaR_PARAMÉTRICO!E19</f>
        <v/>
      </c>
      <c r="D115" s="70">
        <f>IF(B115&lt;-C115,"SIM","NÃO")</f>
        <v/>
      </c>
      <c r="E115" s="61">
        <f>IF(D115="SIM",E114+1,E114)</f>
        <v/>
      </c>
      <c r="F115" s="26" t="inlineStr"/>
    </row>
    <row r="116" ht="16" customHeight="1">
      <c r="A116" s="38" t="n">
        <v>45099</v>
      </c>
      <c r="B116" s="51">
        <f>RETORNOS_HIST!C387</f>
        <v/>
      </c>
      <c r="C116" s="41">
        <f>VaR_PARAMÉTRICO!E19</f>
        <v/>
      </c>
      <c r="D116" s="71">
        <f>IF(B116&lt;-C116,"SIM","NÃO")</f>
        <v/>
      </c>
      <c r="E116" s="62">
        <f>IF(D116="SIM",E115+1,E115)</f>
        <v/>
      </c>
      <c r="F116" s="22" t="inlineStr"/>
    </row>
    <row r="117" ht="16" customHeight="1">
      <c r="A117" s="35" t="n">
        <v>45100</v>
      </c>
      <c r="B117" s="52">
        <f>RETORNOS_HIST!C388</f>
        <v/>
      </c>
      <c r="C117" s="44">
        <f>VaR_PARAMÉTRICO!E19</f>
        <v/>
      </c>
      <c r="D117" s="70">
        <f>IF(B117&lt;-C117,"SIM","NÃO")</f>
        <v/>
      </c>
      <c r="E117" s="61">
        <f>IF(D117="SIM",E116+1,E116)</f>
        <v/>
      </c>
      <c r="F117" s="26" t="inlineStr"/>
    </row>
    <row r="118" ht="16" customHeight="1">
      <c r="A118" s="38" t="n">
        <v>45103</v>
      </c>
      <c r="B118" s="51">
        <f>RETORNOS_HIST!C389</f>
        <v/>
      </c>
      <c r="C118" s="41">
        <f>VaR_PARAMÉTRICO!E19</f>
        <v/>
      </c>
      <c r="D118" s="71">
        <f>IF(B118&lt;-C118,"SIM","NÃO")</f>
        <v/>
      </c>
      <c r="E118" s="62">
        <f>IF(D118="SIM",E117+1,E117)</f>
        <v/>
      </c>
      <c r="F118" s="22" t="inlineStr"/>
    </row>
    <row r="119" ht="16" customHeight="1">
      <c r="A119" s="35" t="n">
        <v>45104</v>
      </c>
      <c r="B119" s="52">
        <f>RETORNOS_HIST!C390</f>
        <v/>
      </c>
      <c r="C119" s="44">
        <f>VaR_PARAMÉTRICO!E19</f>
        <v/>
      </c>
      <c r="D119" s="70">
        <f>IF(B119&lt;-C119,"SIM","NÃO")</f>
        <v/>
      </c>
      <c r="E119" s="61">
        <f>IF(D119="SIM",E118+1,E118)</f>
        <v/>
      </c>
      <c r="F119" s="26" t="inlineStr"/>
    </row>
    <row r="120" ht="16" customHeight="1">
      <c r="A120" s="38" t="n">
        <v>45105</v>
      </c>
      <c r="B120" s="51">
        <f>RETORNOS_HIST!C391</f>
        <v/>
      </c>
      <c r="C120" s="41">
        <f>VaR_PARAMÉTRICO!E19</f>
        <v/>
      </c>
      <c r="D120" s="71">
        <f>IF(B120&lt;-C120,"SIM","NÃO")</f>
        <v/>
      </c>
      <c r="E120" s="62">
        <f>IF(D120="SIM",E119+1,E119)</f>
        <v/>
      </c>
      <c r="F120" s="22" t="inlineStr"/>
    </row>
    <row r="121" ht="16" customHeight="1">
      <c r="A121" s="35" t="n">
        <v>45106</v>
      </c>
      <c r="B121" s="52">
        <f>RETORNOS_HIST!C392</f>
        <v/>
      </c>
      <c r="C121" s="44">
        <f>VaR_PARAMÉTRICO!E19</f>
        <v/>
      </c>
      <c r="D121" s="70">
        <f>IF(B121&lt;-C121,"SIM","NÃO")</f>
        <v/>
      </c>
      <c r="E121" s="61">
        <f>IF(D121="SIM",E120+1,E120)</f>
        <v/>
      </c>
      <c r="F121" s="26" t="inlineStr"/>
    </row>
    <row r="122" ht="16" customHeight="1">
      <c r="A122" s="38" t="n">
        <v>45107</v>
      </c>
      <c r="B122" s="51">
        <f>RETORNOS_HIST!C393</f>
        <v/>
      </c>
      <c r="C122" s="41">
        <f>VaR_PARAMÉTRICO!E19</f>
        <v/>
      </c>
      <c r="D122" s="71">
        <f>IF(B122&lt;-C122,"SIM","NÃO")</f>
        <v/>
      </c>
      <c r="E122" s="62">
        <f>IF(D122="SIM",E121+1,E121)</f>
        <v/>
      </c>
      <c r="F122" s="22" t="inlineStr"/>
    </row>
    <row r="123" ht="16" customHeight="1">
      <c r="A123" s="35" t="n">
        <v>45110</v>
      </c>
      <c r="B123" s="52">
        <f>RETORNOS_HIST!C394</f>
        <v/>
      </c>
      <c r="C123" s="44">
        <f>VaR_PARAMÉTRICO!E19</f>
        <v/>
      </c>
      <c r="D123" s="70">
        <f>IF(B123&lt;-C123,"SIM","NÃO")</f>
        <v/>
      </c>
      <c r="E123" s="61">
        <f>IF(D123="SIM",E122+1,E122)</f>
        <v/>
      </c>
      <c r="F123" s="26" t="inlineStr"/>
    </row>
    <row r="124" ht="16" customHeight="1">
      <c r="A124" s="38" t="n">
        <v>45111</v>
      </c>
      <c r="B124" s="51">
        <f>RETORNOS_HIST!C395</f>
        <v/>
      </c>
      <c r="C124" s="41">
        <f>VaR_PARAMÉTRICO!E19</f>
        <v/>
      </c>
      <c r="D124" s="71">
        <f>IF(B124&lt;-C124,"SIM","NÃO")</f>
        <v/>
      </c>
      <c r="E124" s="62">
        <f>IF(D124="SIM",E123+1,E123)</f>
        <v/>
      </c>
      <c r="F124" s="22" t="inlineStr"/>
    </row>
    <row r="125" ht="16" customHeight="1">
      <c r="A125" s="35" t="n">
        <v>45112</v>
      </c>
      <c r="B125" s="52">
        <f>RETORNOS_HIST!C396</f>
        <v/>
      </c>
      <c r="C125" s="44">
        <f>VaR_PARAMÉTRICO!E19</f>
        <v/>
      </c>
      <c r="D125" s="70">
        <f>IF(B125&lt;-C125,"SIM","NÃO")</f>
        <v/>
      </c>
      <c r="E125" s="61">
        <f>IF(D125="SIM",E124+1,E124)</f>
        <v/>
      </c>
      <c r="F125" s="26" t="inlineStr"/>
    </row>
    <row r="126" ht="16" customHeight="1">
      <c r="A126" s="38" t="n">
        <v>45113</v>
      </c>
      <c r="B126" s="51">
        <f>RETORNOS_HIST!C397</f>
        <v/>
      </c>
      <c r="C126" s="41">
        <f>VaR_PARAMÉTRICO!E19</f>
        <v/>
      </c>
      <c r="D126" s="71">
        <f>IF(B126&lt;-C126,"SIM","NÃO")</f>
        <v/>
      </c>
      <c r="E126" s="62">
        <f>IF(D126="SIM",E125+1,E125)</f>
        <v/>
      </c>
      <c r="F126" s="22" t="inlineStr"/>
    </row>
    <row r="127" ht="16" customHeight="1">
      <c r="A127" s="35" t="n">
        <v>45114</v>
      </c>
      <c r="B127" s="52">
        <f>RETORNOS_HIST!C398</f>
        <v/>
      </c>
      <c r="C127" s="44">
        <f>VaR_PARAMÉTRICO!E19</f>
        <v/>
      </c>
      <c r="D127" s="70">
        <f>IF(B127&lt;-C127,"SIM","NÃO")</f>
        <v/>
      </c>
      <c r="E127" s="61">
        <f>IF(D127="SIM",E126+1,E126)</f>
        <v/>
      </c>
      <c r="F127" s="26" t="inlineStr"/>
    </row>
    <row r="128" ht="16" customHeight="1">
      <c r="A128" s="38" t="n">
        <v>45117</v>
      </c>
      <c r="B128" s="51">
        <f>RETORNOS_HIST!C399</f>
        <v/>
      </c>
      <c r="C128" s="41">
        <f>VaR_PARAMÉTRICO!E19</f>
        <v/>
      </c>
      <c r="D128" s="71">
        <f>IF(B128&lt;-C128,"SIM","NÃO")</f>
        <v/>
      </c>
      <c r="E128" s="62">
        <f>IF(D128="SIM",E127+1,E127)</f>
        <v/>
      </c>
      <c r="F128" s="22" t="inlineStr"/>
    </row>
    <row r="129" ht="16" customHeight="1">
      <c r="A129" s="35" t="n">
        <v>45118</v>
      </c>
      <c r="B129" s="52">
        <f>RETORNOS_HIST!C400</f>
        <v/>
      </c>
      <c r="C129" s="44">
        <f>VaR_PARAMÉTRICO!E19</f>
        <v/>
      </c>
      <c r="D129" s="70">
        <f>IF(B129&lt;-C129,"SIM","NÃO")</f>
        <v/>
      </c>
      <c r="E129" s="61">
        <f>IF(D129="SIM",E128+1,E128)</f>
        <v/>
      </c>
      <c r="F129" s="26" t="inlineStr"/>
    </row>
    <row r="130" ht="16" customHeight="1">
      <c r="A130" s="38" t="n">
        <v>45119</v>
      </c>
      <c r="B130" s="51">
        <f>RETORNOS_HIST!C401</f>
        <v/>
      </c>
      <c r="C130" s="41">
        <f>VaR_PARAMÉTRICO!E19</f>
        <v/>
      </c>
      <c r="D130" s="71">
        <f>IF(B130&lt;-C130,"SIM","NÃO")</f>
        <v/>
      </c>
      <c r="E130" s="62">
        <f>IF(D130="SIM",E129+1,E129)</f>
        <v/>
      </c>
      <c r="F130" s="22" t="inlineStr"/>
    </row>
    <row r="131" ht="16" customHeight="1">
      <c r="A131" s="35" t="n">
        <v>45120</v>
      </c>
      <c r="B131" s="52">
        <f>RETORNOS_HIST!C402</f>
        <v/>
      </c>
      <c r="C131" s="44">
        <f>VaR_PARAMÉTRICO!E19</f>
        <v/>
      </c>
      <c r="D131" s="70">
        <f>IF(B131&lt;-C131,"SIM","NÃO")</f>
        <v/>
      </c>
      <c r="E131" s="61">
        <f>IF(D131="SIM",E130+1,E130)</f>
        <v/>
      </c>
      <c r="F131" s="26" t="inlineStr"/>
    </row>
    <row r="132" ht="16" customHeight="1">
      <c r="A132" s="38" t="n">
        <v>45121</v>
      </c>
      <c r="B132" s="51">
        <f>RETORNOS_HIST!C403</f>
        <v/>
      </c>
      <c r="C132" s="41">
        <f>VaR_PARAMÉTRICO!E19</f>
        <v/>
      </c>
      <c r="D132" s="71">
        <f>IF(B132&lt;-C132,"SIM","NÃO")</f>
        <v/>
      </c>
      <c r="E132" s="62">
        <f>IF(D132="SIM",E131+1,E131)</f>
        <v/>
      </c>
      <c r="F132" s="22" t="inlineStr"/>
    </row>
    <row r="133" ht="16" customHeight="1">
      <c r="A133" s="35" t="n">
        <v>45124</v>
      </c>
      <c r="B133" s="52">
        <f>RETORNOS_HIST!C404</f>
        <v/>
      </c>
      <c r="C133" s="44">
        <f>VaR_PARAMÉTRICO!E19</f>
        <v/>
      </c>
      <c r="D133" s="70">
        <f>IF(B133&lt;-C133,"SIM","NÃO")</f>
        <v/>
      </c>
      <c r="E133" s="61">
        <f>IF(D133="SIM",E132+1,E132)</f>
        <v/>
      </c>
      <c r="F133" s="26" t="inlineStr"/>
    </row>
    <row r="134" ht="16" customHeight="1">
      <c r="A134" s="38" t="n">
        <v>45125</v>
      </c>
      <c r="B134" s="51">
        <f>RETORNOS_HIST!C405</f>
        <v/>
      </c>
      <c r="C134" s="41">
        <f>VaR_PARAMÉTRICO!E19</f>
        <v/>
      </c>
      <c r="D134" s="71">
        <f>IF(B134&lt;-C134,"SIM","NÃO")</f>
        <v/>
      </c>
      <c r="E134" s="62">
        <f>IF(D134="SIM",E133+1,E133)</f>
        <v/>
      </c>
      <c r="F134" s="22" t="inlineStr"/>
    </row>
    <row r="135" ht="16" customHeight="1">
      <c r="A135" s="35" t="n">
        <v>45126</v>
      </c>
      <c r="B135" s="52">
        <f>RETORNOS_HIST!C406</f>
        <v/>
      </c>
      <c r="C135" s="44">
        <f>VaR_PARAMÉTRICO!E19</f>
        <v/>
      </c>
      <c r="D135" s="70">
        <f>IF(B135&lt;-C135,"SIM","NÃO")</f>
        <v/>
      </c>
      <c r="E135" s="61">
        <f>IF(D135="SIM",E134+1,E134)</f>
        <v/>
      </c>
      <c r="F135" s="26" t="inlineStr"/>
    </row>
    <row r="136" ht="16" customHeight="1">
      <c r="A136" s="38" t="n">
        <v>45127</v>
      </c>
      <c r="B136" s="51">
        <f>RETORNOS_HIST!C407</f>
        <v/>
      </c>
      <c r="C136" s="41">
        <f>VaR_PARAMÉTRICO!E19</f>
        <v/>
      </c>
      <c r="D136" s="71">
        <f>IF(B136&lt;-C136,"SIM","NÃO")</f>
        <v/>
      </c>
      <c r="E136" s="62">
        <f>IF(D136="SIM",E135+1,E135)</f>
        <v/>
      </c>
      <c r="F136" s="22" t="inlineStr"/>
    </row>
    <row r="137" ht="16" customHeight="1">
      <c r="A137" s="35" t="n">
        <v>45128</v>
      </c>
      <c r="B137" s="52">
        <f>RETORNOS_HIST!C408</f>
        <v/>
      </c>
      <c r="C137" s="44">
        <f>VaR_PARAMÉTRICO!E19</f>
        <v/>
      </c>
      <c r="D137" s="70">
        <f>IF(B137&lt;-C137,"SIM","NÃO")</f>
        <v/>
      </c>
      <c r="E137" s="61">
        <f>IF(D137="SIM",E136+1,E136)</f>
        <v/>
      </c>
      <c r="F137" s="26" t="inlineStr"/>
    </row>
    <row r="138" ht="16" customHeight="1">
      <c r="A138" s="38" t="n">
        <v>45131</v>
      </c>
      <c r="B138" s="51">
        <f>RETORNOS_HIST!C409</f>
        <v/>
      </c>
      <c r="C138" s="41">
        <f>VaR_PARAMÉTRICO!E19</f>
        <v/>
      </c>
      <c r="D138" s="71">
        <f>IF(B138&lt;-C138,"SIM","NÃO")</f>
        <v/>
      </c>
      <c r="E138" s="62">
        <f>IF(D138="SIM",E137+1,E137)</f>
        <v/>
      </c>
      <c r="F138" s="22" t="inlineStr"/>
    </row>
    <row r="139" ht="16" customHeight="1">
      <c r="A139" s="35" t="n">
        <v>45132</v>
      </c>
      <c r="B139" s="52">
        <f>RETORNOS_HIST!C410</f>
        <v/>
      </c>
      <c r="C139" s="44">
        <f>VaR_PARAMÉTRICO!E19</f>
        <v/>
      </c>
      <c r="D139" s="70">
        <f>IF(B139&lt;-C139,"SIM","NÃO")</f>
        <v/>
      </c>
      <c r="E139" s="61">
        <f>IF(D139="SIM",E138+1,E138)</f>
        <v/>
      </c>
      <c r="F139" s="26" t="inlineStr"/>
    </row>
    <row r="140" ht="16" customHeight="1">
      <c r="A140" s="38" t="n">
        <v>45133</v>
      </c>
      <c r="B140" s="51">
        <f>RETORNOS_HIST!C411</f>
        <v/>
      </c>
      <c r="C140" s="41">
        <f>VaR_PARAMÉTRICO!E19</f>
        <v/>
      </c>
      <c r="D140" s="71">
        <f>IF(B140&lt;-C140,"SIM","NÃO")</f>
        <v/>
      </c>
      <c r="E140" s="62">
        <f>IF(D140="SIM",E139+1,E139)</f>
        <v/>
      </c>
      <c r="F140" s="22" t="inlineStr"/>
    </row>
    <row r="141" ht="16" customHeight="1">
      <c r="A141" s="35" t="n">
        <v>45134</v>
      </c>
      <c r="B141" s="52">
        <f>RETORNOS_HIST!C412</f>
        <v/>
      </c>
      <c r="C141" s="44">
        <f>VaR_PARAMÉTRICO!E19</f>
        <v/>
      </c>
      <c r="D141" s="70">
        <f>IF(B141&lt;-C141,"SIM","NÃO")</f>
        <v/>
      </c>
      <c r="E141" s="61">
        <f>IF(D141="SIM",E140+1,E140)</f>
        <v/>
      </c>
      <c r="F141" s="26" t="inlineStr"/>
    </row>
    <row r="142" ht="16" customHeight="1">
      <c r="A142" s="38" t="n">
        <v>45135</v>
      </c>
      <c r="B142" s="51">
        <f>RETORNOS_HIST!C413</f>
        <v/>
      </c>
      <c r="C142" s="41">
        <f>VaR_PARAMÉTRICO!E19</f>
        <v/>
      </c>
      <c r="D142" s="71">
        <f>IF(B142&lt;-C142,"SIM","NÃO")</f>
        <v/>
      </c>
      <c r="E142" s="62">
        <f>IF(D142="SIM",E141+1,E141)</f>
        <v/>
      </c>
      <c r="F142" s="22" t="inlineStr"/>
    </row>
    <row r="143" ht="16" customHeight="1">
      <c r="A143" s="35" t="n">
        <v>45138</v>
      </c>
      <c r="B143" s="52">
        <f>RETORNOS_HIST!C414</f>
        <v/>
      </c>
      <c r="C143" s="44">
        <f>VaR_PARAMÉTRICO!E19</f>
        <v/>
      </c>
      <c r="D143" s="70">
        <f>IF(B143&lt;-C143,"SIM","NÃO")</f>
        <v/>
      </c>
      <c r="E143" s="61">
        <f>IF(D143="SIM",E142+1,E142)</f>
        <v/>
      </c>
      <c r="F143" s="26" t="inlineStr"/>
    </row>
    <row r="144" ht="16" customHeight="1">
      <c r="A144" s="38" t="n">
        <v>45139</v>
      </c>
      <c r="B144" s="51">
        <f>RETORNOS_HIST!C415</f>
        <v/>
      </c>
      <c r="C144" s="41">
        <f>VaR_PARAMÉTRICO!E19</f>
        <v/>
      </c>
      <c r="D144" s="71">
        <f>IF(B144&lt;-C144,"SIM","NÃO")</f>
        <v/>
      </c>
      <c r="E144" s="62">
        <f>IF(D144="SIM",E143+1,E143)</f>
        <v/>
      </c>
      <c r="F144" s="22" t="inlineStr"/>
    </row>
    <row r="145" ht="16" customHeight="1">
      <c r="A145" s="35" t="n">
        <v>45140</v>
      </c>
      <c r="B145" s="52">
        <f>RETORNOS_HIST!C416</f>
        <v/>
      </c>
      <c r="C145" s="44">
        <f>VaR_PARAMÉTRICO!E19</f>
        <v/>
      </c>
      <c r="D145" s="70">
        <f>IF(B145&lt;-C145,"SIM","NÃO")</f>
        <v/>
      </c>
      <c r="E145" s="61">
        <f>IF(D145="SIM",E144+1,E144)</f>
        <v/>
      </c>
      <c r="F145" s="26" t="inlineStr"/>
    </row>
    <row r="146" ht="16" customHeight="1">
      <c r="A146" s="38" t="n">
        <v>45141</v>
      </c>
      <c r="B146" s="51">
        <f>RETORNOS_HIST!C417</f>
        <v/>
      </c>
      <c r="C146" s="41">
        <f>VaR_PARAMÉTRICO!E19</f>
        <v/>
      </c>
      <c r="D146" s="71">
        <f>IF(B146&lt;-C146,"SIM","NÃO")</f>
        <v/>
      </c>
      <c r="E146" s="62">
        <f>IF(D146="SIM",E145+1,E145)</f>
        <v/>
      </c>
      <c r="F146" s="22" t="inlineStr"/>
    </row>
    <row r="147" ht="16" customHeight="1">
      <c r="A147" s="35" t="n">
        <v>45142</v>
      </c>
      <c r="B147" s="52">
        <f>RETORNOS_HIST!C418</f>
        <v/>
      </c>
      <c r="C147" s="44">
        <f>VaR_PARAMÉTRICO!E19</f>
        <v/>
      </c>
      <c r="D147" s="70">
        <f>IF(B147&lt;-C147,"SIM","NÃO")</f>
        <v/>
      </c>
      <c r="E147" s="61">
        <f>IF(D147="SIM",E146+1,E146)</f>
        <v/>
      </c>
      <c r="F147" s="26" t="inlineStr"/>
    </row>
    <row r="148" ht="16" customHeight="1">
      <c r="A148" s="38" t="n">
        <v>45145</v>
      </c>
      <c r="B148" s="51">
        <f>RETORNOS_HIST!C419</f>
        <v/>
      </c>
      <c r="C148" s="41">
        <f>VaR_PARAMÉTRICO!E19</f>
        <v/>
      </c>
      <c r="D148" s="71">
        <f>IF(B148&lt;-C148,"SIM","NÃO")</f>
        <v/>
      </c>
      <c r="E148" s="62">
        <f>IF(D148="SIM",E147+1,E147)</f>
        <v/>
      </c>
      <c r="F148" s="22" t="inlineStr"/>
    </row>
    <row r="149" ht="16" customHeight="1">
      <c r="A149" s="35" t="n">
        <v>45146</v>
      </c>
      <c r="B149" s="52">
        <f>RETORNOS_HIST!C420</f>
        <v/>
      </c>
      <c r="C149" s="44">
        <f>VaR_PARAMÉTRICO!E19</f>
        <v/>
      </c>
      <c r="D149" s="70">
        <f>IF(B149&lt;-C149,"SIM","NÃO")</f>
        <v/>
      </c>
      <c r="E149" s="61">
        <f>IF(D149="SIM",E148+1,E148)</f>
        <v/>
      </c>
      <c r="F149" s="26" t="inlineStr"/>
    </row>
    <row r="150" ht="16" customHeight="1">
      <c r="A150" s="38" t="n">
        <v>45147</v>
      </c>
      <c r="B150" s="51">
        <f>RETORNOS_HIST!C421</f>
        <v/>
      </c>
      <c r="C150" s="41">
        <f>VaR_PARAMÉTRICO!E19</f>
        <v/>
      </c>
      <c r="D150" s="71">
        <f>IF(B150&lt;-C150,"SIM","NÃO")</f>
        <v/>
      </c>
      <c r="E150" s="62">
        <f>IF(D150="SIM",E149+1,E149)</f>
        <v/>
      </c>
      <c r="F150" s="22" t="inlineStr"/>
    </row>
    <row r="151" ht="16" customHeight="1">
      <c r="A151" s="35" t="n">
        <v>45148</v>
      </c>
      <c r="B151" s="52">
        <f>RETORNOS_HIST!C422</f>
        <v/>
      </c>
      <c r="C151" s="44">
        <f>VaR_PARAMÉTRICO!E19</f>
        <v/>
      </c>
      <c r="D151" s="70">
        <f>IF(B151&lt;-C151,"SIM","NÃO")</f>
        <v/>
      </c>
      <c r="E151" s="61">
        <f>IF(D151="SIM",E150+1,E150)</f>
        <v/>
      </c>
      <c r="F151" s="26" t="inlineStr"/>
    </row>
    <row r="152" ht="16" customHeight="1">
      <c r="A152" s="38" t="n">
        <v>45149</v>
      </c>
      <c r="B152" s="51">
        <f>RETORNOS_HIST!C423</f>
        <v/>
      </c>
      <c r="C152" s="41">
        <f>VaR_PARAMÉTRICO!E19</f>
        <v/>
      </c>
      <c r="D152" s="71">
        <f>IF(B152&lt;-C152,"SIM","NÃO")</f>
        <v/>
      </c>
      <c r="E152" s="62">
        <f>IF(D152="SIM",E151+1,E151)</f>
        <v/>
      </c>
      <c r="F152" s="22" t="inlineStr"/>
    </row>
    <row r="153" ht="16" customHeight="1">
      <c r="A153" s="35" t="n">
        <v>45152</v>
      </c>
      <c r="B153" s="52">
        <f>RETORNOS_HIST!C424</f>
        <v/>
      </c>
      <c r="C153" s="44">
        <f>VaR_PARAMÉTRICO!E19</f>
        <v/>
      </c>
      <c r="D153" s="70">
        <f>IF(B153&lt;-C153,"SIM","NÃO")</f>
        <v/>
      </c>
      <c r="E153" s="61">
        <f>IF(D153="SIM",E152+1,E152)</f>
        <v/>
      </c>
      <c r="F153" s="26" t="inlineStr"/>
    </row>
    <row r="154" ht="16" customHeight="1">
      <c r="A154" s="38" t="n">
        <v>45153</v>
      </c>
      <c r="B154" s="51">
        <f>RETORNOS_HIST!C425</f>
        <v/>
      </c>
      <c r="C154" s="41">
        <f>VaR_PARAMÉTRICO!E19</f>
        <v/>
      </c>
      <c r="D154" s="71">
        <f>IF(B154&lt;-C154,"SIM","NÃO")</f>
        <v/>
      </c>
      <c r="E154" s="62">
        <f>IF(D154="SIM",E153+1,E153)</f>
        <v/>
      </c>
      <c r="F154" s="22" t="inlineStr"/>
    </row>
    <row r="155" ht="16" customHeight="1">
      <c r="A155" s="35" t="n">
        <v>45154</v>
      </c>
      <c r="B155" s="52">
        <f>RETORNOS_HIST!C426</f>
        <v/>
      </c>
      <c r="C155" s="44">
        <f>VaR_PARAMÉTRICO!E19</f>
        <v/>
      </c>
      <c r="D155" s="70">
        <f>IF(B155&lt;-C155,"SIM","NÃO")</f>
        <v/>
      </c>
      <c r="E155" s="61">
        <f>IF(D155="SIM",E154+1,E154)</f>
        <v/>
      </c>
      <c r="F155" s="26" t="inlineStr"/>
    </row>
    <row r="156" ht="16" customHeight="1">
      <c r="A156" s="38" t="n">
        <v>45155</v>
      </c>
      <c r="B156" s="51">
        <f>RETORNOS_HIST!C427</f>
        <v/>
      </c>
      <c r="C156" s="41">
        <f>VaR_PARAMÉTRICO!E19</f>
        <v/>
      </c>
      <c r="D156" s="71">
        <f>IF(B156&lt;-C156,"SIM","NÃO")</f>
        <v/>
      </c>
      <c r="E156" s="62">
        <f>IF(D156="SIM",E155+1,E155)</f>
        <v/>
      </c>
      <c r="F156" s="22" t="inlineStr"/>
    </row>
    <row r="157" ht="16" customHeight="1">
      <c r="A157" s="35" t="n">
        <v>45156</v>
      </c>
      <c r="B157" s="52">
        <f>RETORNOS_HIST!C428</f>
        <v/>
      </c>
      <c r="C157" s="44">
        <f>VaR_PARAMÉTRICO!E19</f>
        <v/>
      </c>
      <c r="D157" s="70">
        <f>IF(B157&lt;-C157,"SIM","NÃO")</f>
        <v/>
      </c>
      <c r="E157" s="61">
        <f>IF(D157="SIM",E156+1,E156)</f>
        <v/>
      </c>
      <c r="F157" s="26" t="inlineStr"/>
    </row>
    <row r="158" ht="16" customHeight="1">
      <c r="A158" s="38" t="n">
        <v>45159</v>
      </c>
      <c r="B158" s="51">
        <f>RETORNOS_HIST!C429</f>
        <v/>
      </c>
      <c r="C158" s="41">
        <f>VaR_PARAMÉTRICO!E19</f>
        <v/>
      </c>
      <c r="D158" s="71">
        <f>IF(B158&lt;-C158,"SIM","NÃO")</f>
        <v/>
      </c>
      <c r="E158" s="62">
        <f>IF(D158="SIM",E157+1,E157)</f>
        <v/>
      </c>
      <c r="F158" s="22" t="inlineStr"/>
    </row>
    <row r="159" ht="16" customHeight="1">
      <c r="A159" s="35" t="n">
        <v>45160</v>
      </c>
      <c r="B159" s="52">
        <f>RETORNOS_HIST!C430</f>
        <v/>
      </c>
      <c r="C159" s="44">
        <f>VaR_PARAMÉTRICO!E19</f>
        <v/>
      </c>
      <c r="D159" s="70">
        <f>IF(B159&lt;-C159,"SIM","NÃO")</f>
        <v/>
      </c>
      <c r="E159" s="61">
        <f>IF(D159="SIM",E158+1,E158)</f>
        <v/>
      </c>
      <c r="F159" s="26" t="inlineStr"/>
    </row>
    <row r="160" ht="16" customHeight="1">
      <c r="A160" s="38" t="n">
        <v>45161</v>
      </c>
      <c r="B160" s="51">
        <f>RETORNOS_HIST!C431</f>
        <v/>
      </c>
      <c r="C160" s="41">
        <f>VaR_PARAMÉTRICO!E19</f>
        <v/>
      </c>
      <c r="D160" s="71">
        <f>IF(B160&lt;-C160,"SIM","NÃO")</f>
        <v/>
      </c>
      <c r="E160" s="62">
        <f>IF(D160="SIM",E159+1,E159)</f>
        <v/>
      </c>
      <c r="F160" s="22" t="inlineStr"/>
    </row>
    <row r="161" ht="16" customHeight="1">
      <c r="A161" s="35" t="n">
        <v>45162</v>
      </c>
      <c r="B161" s="52">
        <f>RETORNOS_HIST!C432</f>
        <v/>
      </c>
      <c r="C161" s="44">
        <f>VaR_PARAMÉTRICO!E19</f>
        <v/>
      </c>
      <c r="D161" s="70">
        <f>IF(B161&lt;-C161,"SIM","NÃO")</f>
        <v/>
      </c>
      <c r="E161" s="61">
        <f>IF(D161="SIM",E160+1,E160)</f>
        <v/>
      </c>
      <c r="F161" s="26" t="inlineStr"/>
    </row>
    <row r="162" ht="16" customHeight="1">
      <c r="A162" s="38" t="n">
        <v>45163</v>
      </c>
      <c r="B162" s="51">
        <f>RETORNOS_HIST!C433</f>
        <v/>
      </c>
      <c r="C162" s="41">
        <f>VaR_PARAMÉTRICO!E19</f>
        <v/>
      </c>
      <c r="D162" s="71">
        <f>IF(B162&lt;-C162,"SIM","NÃO")</f>
        <v/>
      </c>
      <c r="E162" s="62">
        <f>IF(D162="SIM",E161+1,E161)</f>
        <v/>
      </c>
      <c r="F162" s="22" t="inlineStr"/>
    </row>
    <row r="163" ht="16" customHeight="1">
      <c r="A163" s="35" t="n">
        <v>45166</v>
      </c>
      <c r="B163" s="52">
        <f>RETORNOS_HIST!C434</f>
        <v/>
      </c>
      <c r="C163" s="44">
        <f>VaR_PARAMÉTRICO!E19</f>
        <v/>
      </c>
      <c r="D163" s="70">
        <f>IF(B163&lt;-C163,"SIM","NÃO")</f>
        <v/>
      </c>
      <c r="E163" s="61">
        <f>IF(D163="SIM",E162+1,E162)</f>
        <v/>
      </c>
      <c r="F163" s="26" t="inlineStr"/>
    </row>
    <row r="164" ht="16" customHeight="1">
      <c r="A164" s="38" t="n">
        <v>45167</v>
      </c>
      <c r="B164" s="51">
        <f>RETORNOS_HIST!C435</f>
        <v/>
      </c>
      <c r="C164" s="41">
        <f>VaR_PARAMÉTRICO!E19</f>
        <v/>
      </c>
      <c r="D164" s="71">
        <f>IF(B164&lt;-C164,"SIM","NÃO")</f>
        <v/>
      </c>
      <c r="E164" s="62">
        <f>IF(D164="SIM",E163+1,E163)</f>
        <v/>
      </c>
      <c r="F164" s="22" t="inlineStr"/>
    </row>
    <row r="165" ht="16" customHeight="1">
      <c r="A165" s="35" t="n">
        <v>45168</v>
      </c>
      <c r="B165" s="52">
        <f>RETORNOS_HIST!C436</f>
        <v/>
      </c>
      <c r="C165" s="44">
        <f>VaR_PARAMÉTRICO!E19</f>
        <v/>
      </c>
      <c r="D165" s="70">
        <f>IF(B165&lt;-C165,"SIM","NÃO")</f>
        <v/>
      </c>
      <c r="E165" s="61">
        <f>IF(D165="SIM",E164+1,E164)</f>
        <v/>
      </c>
      <c r="F165" s="26" t="inlineStr"/>
    </row>
    <row r="166" ht="16" customHeight="1">
      <c r="A166" s="38" t="n">
        <v>45169</v>
      </c>
      <c r="B166" s="51">
        <f>RETORNOS_HIST!C437</f>
        <v/>
      </c>
      <c r="C166" s="41">
        <f>VaR_PARAMÉTRICO!E19</f>
        <v/>
      </c>
      <c r="D166" s="71">
        <f>IF(B166&lt;-C166,"SIM","NÃO")</f>
        <v/>
      </c>
      <c r="E166" s="62">
        <f>IF(D166="SIM",E165+1,E165)</f>
        <v/>
      </c>
      <c r="F166" s="22" t="inlineStr"/>
    </row>
    <row r="167" ht="16" customHeight="1">
      <c r="A167" s="35" t="n">
        <v>45170</v>
      </c>
      <c r="B167" s="52">
        <f>RETORNOS_HIST!C438</f>
        <v/>
      </c>
      <c r="C167" s="44">
        <f>VaR_PARAMÉTRICO!E19</f>
        <v/>
      </c>
      <c r="D167" s="70">
        <f>IF(B167&lt;-C167,"SIM","NÃO")</f>
        <v/>
      </c>
      <c r="E167" s="61">
        <f>IF(D167="SIM",E166+1,E166)</f>
        <v/>
      </c>
      <c r="F167" s="26" t="inlineStr"/>
    </row>
    <row r="168" ht="16" customHeight="1">
      <c r="A168" s="38" t="n">
        <v>45173</v>
      </c>
      <c r="B168" s="51">
        <f>RETORNOS_HIST!C439</f>
        <v/>
      </c>
      <c r="C168" s="41">
        <f>VaR_PARAMÉTRICO!E19</f>
        <v/>
      </c>
      <c r="D168" s="71">
        <f>IF(B168&lt;-C168,"SIM","NÃO")</f>
        <v/>
      </c>
      <c r="E168" s="62">
        <f>IF(D168="SIM",E167+1,E167)</f>
        <v/>
      </c>
      <c r="F168" s="22" t="inlineStr"/>
    </row>
    <row r="169" ht="16" customHeight="1">
      <c r="A169" s="35" t="n">
        <v>45174</v>
      </c>
      <c r="B169" s="52">
        <f>RETORNOS_HIST!C440</f>
        <v/>
      </c>
      <c r="C169" s="44">
        <f>VaR_PARAMÉTRICO!E19</f>
        <v/>
      </c>
      <c r="D169" s="70">
        <f>IF(B169&lt;-C169,"SIM","NÃO")</f>
        <v/>
      </c>
      <c r="E169" s="61">
        <f>IF(D169="SIM",E168+1,E168)</f>
        <v/>
      </c>
      <c r="F169" s="26" t="inlineStr"/>
    </row>
    <row r="170" ht="16" customHeight="1">
      <c r="A170" s="38" t="n">
        <v>45175</v>
      </c>
      <c r="B170" s="51">
        <f>RETORNOS_HIST!C441</f>
        <v/>
      </c>
      <c r="C170" s="41">
        <f>VaR_PARAMÉTRICO!E19</f>
        <v/>
      </c>
      <c r="D170" s="71">
        <f>IF(B170&lt;-C170,"SIM","NÃO")</f>
        <v/>
      </c>
      <c r="E170" s="62">
        <f>IF(D170="SIM",E169+1,E169)</f>
        <v/>
      </c>
      <c r="F170" s="22" t="inlineStr"/>
    </row>
    <row r="171" ht="16" customHeight="1">
      <c r="A171" s="35" t="n">
        <v>45176</v>
      </c>
      <c r="B171" s="52">
        <f>RETORNOS_HIST!C442</f>
        <v/>
      </c>
      <c r="C171" s="44">
        <f>VaR_PARAMÉTRICO!E19</f>
        <v/>
      </c>
      <c r="D171" s="70">
        <f>IF(B171&lt;-C171,"SIM","NÃO")</f>
        <v/>
      </c>
      <c r="E171" s="61">
        <f>IF(D171="SIM",E170+1,E170)</f>
        <v/>
      </c>
      <c r="F171" s="26" t="inlineStr"/>
    </row>
    <row r="172" ht="16" customHeight="1">
      <c r="A172" s="38" t="n">
        <v>45177</v>
      </c>
      <c r="B172" s="51">
        <f>RETORNOS_HIST!C443</f>
        <v/>
      </c>
      <c r="C172" s="41">
        <f>VaR_PARAMÉTRICO!E19</f>
        <v/>
      </c>
      <c r="D172" s="71">
        <f>IF(B172&lt;-C172,"SIM","NÃO")</f>
        <v/>
      </c>
      <c r="E172" s="62">
        <f>IF(D172="SIM",E171+1,E171)</f>
        <v/>
      </c>
      <c r="F172" s="22" t="inlineStr"/>
    </row>
    <row r="173" ht="16" customHeight="1">
      <c r="A173" s="35" t="n">
        <v>45180</v>
      </c>
      <c r="B173" s="52">
        <f>RETORNOS_HIST!C444</f>
        <v/>
      </c>
      <c r="C173" s="44">
        <f>VaR_PARAMÉTRICO!E19</f>
        <v/>
      </c>
      <c r="D173" s="70">
        <f>IF(B173&lt;-C173,"SIM","NÃO")</f>
        <v/>
      </c>
      <c r="E173" s="61">
        <f>IF(D173="SIM",E172+1,E172)</f>
        <v/>
      </c>
      <c r="F173" s="26" t="inlineStr"/>
    </row>
    <row r="174" ht="16" customHeight="1">
      <c r="A174" s="38" t="n">
        <v>45181</v>
      </c>
      <c r="B174" s="51">
        <f>RETORNOS_HIST!C445</f>
        <v/>
      </c>
      <c r="C174" s="41">
        <f>VaR_PARAMÉTRICO!E19</f>
        <v/>
      </c>
      <c r="D174" s="71">
        <f>IF(B174&lt;-C174,"SIM","NÃO")</f>
        <v/>
      </c>
      <c r="E174" s="62">
        <f>IF(D174="SIM",E173+1,E173)</f>
        <v/>
      </c>
      <c r="F174" s="22" t="inlineStr"/>
    </row>
    <row r="175" ht="16" customHeight="1">
      <c r="A175" s="35" t="n">
        <v>45182</v>
      </c>
      <c r="B175" s="52">
        <f>RETORNOS_HIST!C446</f>
        <v/>
      </c>
      <c r="C175" s="44">
        <f>VaR_PARAMÉTRICO!E19</f>
        <v/>
      </c>
      <c r="D175" s="70">
        <f>IF(B175&lt;-C175,"SIM","NÃO")</f>
        <v/>
      </c>
      <c r="E175" s="61">
        <f>IF(D175="SIM",E174+1,E174)</f>
        <v/>
      </c>
      <c r="F175" s="26" t="inlineStr"/>
    </row>
    <row r="176" ht="16" customHeight="1">
      <c r="A176" s="38" t="n">
        <v>45183</v>
      </c>
      <c r="B176" s="51">
        <f>RETORNOS_HIST!C447</f>
        <v/>
      </c>
      <c r="C176" s="41">
        <f>VaR_PARAMÉTRICO!E19</f>
        <v/>
      </c>
      <c r="D176" s="71">
        <f>IF(B176&lt;-C176,"SIM","NÃO")</f>
        <v/>
      </c>
      <c r="E176" s="62">
        <f>IF(D176="SIM",E175+1,E175)</f>
        <v/>
      </c>
      <c r="F176" s="22" t="inlineStr"/>
    </row>
    <row r="177" ht="16" customHeight="1">
      <c r="A177" s="35" t="n">
        <v>45184</v>
      </c>
      <c r="B177" s="52">
        <f>RETORNOS_HIST!C448</f>
        <v/>
      </c>
      <c r="C177" s="44">
        <f>VaR_PARAMÉTRICO!E19</f>
        <v/>
      </c>
      <c r="D177" s="70">
        <f>IF(B177&lt;-C177,"SIM","NÃO")</f>
        <v/>
      </c>
      <c r="E177" s="61">
        <f>IF(D177="SIM",E176+1,E176)</f>
        <v/>
      </c>
      <c r="F177" s="26" t="inlineStr"/>
    </row>
    <row r="178" ht="16" customHeight="1">
      <c r="A178" s="38" t="n">
        <v>45187</v>
      </c>
      <c r="B178" s="51">
        <f>RETORNOS_HIST!C449</f>
        <v/>
      </c>
      <c r="C178" s="41">
        <f>VaR_PARAMÉTRICO!E19</f>
        <v/>
      </c>
      <c r="D178" s="71">
        <f>IF(B178&lt;-C178,"SIM","NÃO")</f>
        <v/>
      </c>
      <c r="E178" s="62">
        <f>IF(D178="SIM",E177+1,E177)</f>
        <v/>
      </c>
      <c r="F178" s="22" t="inlineStr"/>
    </row>
    <row r="179" ht="16" customHeight="1">
      <c r="A179" s="35" t="n">
        <v>45188</v>
      </c>
      <c r="B179" s="52">
        <f>RETORNOS_HIST!C450</f>
        <v/>
      </c>
      <c r="C179" s="44">
        <f>VaR_PARAMÉTRICO!E19</f>
        <v/>
      </c>
      <c r="D179" s="70">
        <f>IF(B179&lt;-C179,"SIM","NÃO")</f>
        <v/>
      </c>
      <c r="E179" s="61">
        <f>IF(D179="SIM",E178+1,E178)</f>
        <v/>
      </c>
      <c r="F179" s="26" t="inlineStr"/>
    </row>
    <row r="180" ht="16" customHeight="1">
      <c r="A180" s="38" t="n">
        <v>45189</v>
      </c>
      <c r="B180" s="51">
        <f>RETORNOS_HIST!C451</f>
        <v/>
      </c>
      <c r="C180" s="41">
        <f>VaR_PARAMÉTRICO!E19</f>
        <v/>
      </c>
      <c r="D180" s="71">
        <f>IF(B180&lt;-C180,"SIM","NÃO")</f>
        <v/>
      </c>
      <c r="E180" s="62">
        <f>IF(D180="SIM",E179+1,E179)</f>
        <v/>
      </c>
      <c r="F180" s="22" t="inlineStr"/>
    </row>
    <row r="181" ht="16" customHeight="1">
      <c r="A181" s="35" t="n">
        <v>45190</v>
      </c>
      <c r="B181" s="52">
        <f>RETORNOS_HIST!C452</f>
        <v/>
      </c>
      <c r="C181" s="44">
        <f>VaR_PARAMÉTRICO!E19</f>
        <v/>
      </c>
      <c r="D181" s="70">
        <f>IF(B181&lt;-C181,"SIM","NÃO")</f>
        <v/>
      </c>
      <c r="E181" s="61">
        <f>IF(D181="SIM",E180+1,E180)</f>
        <v/>
      </c>
      <c r="F181" s="26" t="inlineStr"/>
    </row>
    <row r="182" ht="16" customHeight="1">
      <c r="A182" s="38" t="n">
        <v>45191</v>
      </c>
      <c r="B182" s="51">
        <f>RETORNOS_HIST!C453</f>
        <v/>
      </c>
      <c r="C182" s="41">
        <f>VaR_PARAMÉTRICO!E19</f>
        <v/>
      </c>
      <c r="D182" s="71">
        <f>IF(B182&lt;-C182,"SIM","NÃO")</f>
        <v/>
      </c>
      <c r="E182" s="62">
        <f>IF(D182="SIM",E181+1,E181)</f>
        <v/>
      </c>
      <c r="F182" s="22" t="inlineStr"/>
    </row>
    <row r="183" ht="16" customHeight="1">
      <c r="A183" s="35" t="n">
        <v>45194</v>
      </c>
      <c r="B183" s="52">
        <f>RETORNOS_HIST!C454</f>
        <v/>
      </c>
      <c r="C183" s="44">
        <f>VaR_PARAMÉTRICO!E19</f>
        <v/>
      </c>
      <c r="D183" s="70">
        <f>IF(B183&lt;-C183,"SIM","NÃO")</f>
        <v/>
      </c>
      <c r="E183" s="61">
        <f>IF(D183="SIM",E182+1,E182)</f>
        <v/>
      </c>
      <c r="F183" s="26" t="inlineStr"/>
    </row>
    <row r="184" ht="16" customHeight="1">
      <c r="A184" s="38" t="n">
        <v>45195</v>
      </c>
      <c r="B184" s="51">
        <f>RETORNOS_HIST!C455</f>
        <v/>
      </c>
      <c r="C184" s="41">
        <f>VaR_PARAMÉTRICO!E19</f>
        <v/>
      </c>
      <c r="D184" s="71">
        <f>IF(B184&lt;-C184,"SIM","NÃO")</f>
        <v/>
      </c>
      <c r="E184" s="62">
        <f>IF(D184="SIM",E183+1,E183)</f>
        <v/>
      </c>
      <c r="F184" s="22" t="inlineStr"/>
    </row>
    <row r="185" ht="16" customHeight="1">
      <c r="A185" s="35" t="n">
        <v>45196</v>
      </c>
      <c r="B185" s="52">
        <f>RETORNOS_HIST!C456</f>
        <v/>
      </c>
      <c r="C185" s="44">
        <f>VaR_PARAMÉTRICO!E19</f>
        <v/>
      </c>
      <c r="D185" s="70">
        <f>IF(B185&lt;-C185,"SIM","NÃO")</f>
        <v/>
      </c>
      <c r="E185" s="61">
        <f>IF(D185="SIM",E184+1,E184)</f>
        <v/>
      </c>
      <c r="F185" s="26" t="inlineStr"/>
    </row>
    <row r="186" ht="16" customHeight="1">
      <c r="A186" s="38" t="n">
        <v>45197</v>
      </c>
      <c r="B186" s="51">
        <f>RETORNOS_HIST!C457</f>
        <v/>
      </c>
      <c r="C186" s="41">
        <f>VaR_PARAMÉTRICO!E19</f>
        <v/>
      </c>
      <c r="D186" s="71">
        <f>IF(B186&lt;-C186,"SIM","NÃO")</f>
        <v/>
      </c>
      <c r="E186" s="62">
        <f>IF(D186="SIM",E185+1,E185)</f>
        <v/>
      </c>
      <c r="F186" s="22" t="inlineStr"/>
    </row>
    <row r="187" ht="16" customHeight="1">
      <c r="A187" s="35" t="n">
        <v>45198</v>
      </c>
      <c r="B187" s="52">
        <f>RETORNOS_HIST!C458</f>
        <v/>
      </c>
      <c r="C187" s="44">
        <f>VaR_PARAMÉTRICO!E19</f>
        <v/>
      </c>
      <c r="D187" s="70">
        <f>IF(B187&lt;-C187,"SIM","NÃO")</f>
        <v/>
      </c>
      <c r="E187" s="61">
        <f>IF(D187="SIM",E186+1,E186)</f>
        <v/>
      </c>
      <c r="F187" s="26" t="inlineStr"/>
    </row>
    <row r="188" ht="16" customHeight="1">
      <c r="A188" s="38" t="n">
        <v>45201</v>
      </c>
      <c r="B188" s="51">
        <f>RETORNOS_HIST!C459</f>
        <v/>
      </c>
      <c r="C188" s="41">
        <f>VaR_PARAMÉTRICO!E19</f>
        <v/>
      </c>
      <c r="D188" s="71">
        <f>IF(B188&lt;-C188,"SIM","NÃO")</f>
        <v/>
      </c>
      <c r="E188" s="62">
        <f>IF(D188="SIM",E187+1,E187)</f>
        <v/>
      </c>
      <c r="F188" s="22" t="inlineStr"/>
    </row>
    <row r="189" ht="16" customHeight="1">
      <c r="A189" s="35" t="n">
        <v>45202</v>
      </c>
      <c r="B189" s="52">
        <f>RETORNOS_HIST!C460</f>
        <v/>
      </c>
      <c r="C189" s="44">
        <f>VaR_PARAMÉTRICO!E19</f>
        <v/>
      </c>
      <c r="D189" s="70">
        <f>IF(B189&lt;-C189,"SIM","NÃO")</f>
        <v/>
      </c>
      <c r="E189" s="61">
        <f>IF(D189="SIM",E188+1,E188)</f>
        <v/>
      </c>
      <c r="F189" s="26" t="inlineStr"/>
    </row>
    <row r="190" ht="16" customHeight="1">
      <c r="A190" s="38" t="n">
        <v>45203</v>
      </c>
      <c r="B190" s="51">
        <f>RETORNOS_HIST!C461</f>
        <v/>
      </c>
      <c r="C190" s="41">
        <f>VaR_PARAMÉTRICO!E19</f>
        <v/>
      </c>
      <c r="D190" s="71">
        <f>IF(B190&lt;-C190,"SIM","NÃO")</f>
        <v/>
      </c>
      <c r="E190" s="62">
        <f>IF(D190="SIM",E189+1,E189)</f>
        <v/>
      </c>
      <c r="F190" s="22" t="inlineStr"/>
    </row>
    <row r="191" ht="16" customHeight="1">
      <c r="A191" s="35" t="n">
        <v>45204</v>
      </c>
      <c r="B191" s="52">
        <f>RETORNOS_HIST!C462</f>
        <v/>
      </c>
      <c r="C191" s="44">
        <f>VaR_PARAMÉTRICO!E19</f>
        <v/>
      </c>
      <c r="D191" s="70">
        <f>IF(B191&lt;-C191,"SIM","NÃO")</f>
        <v/>
      </c>
      <c r="E191" s="61">
        <f>IF(D191="SIM",E190+1,E190)</f>
        <v/>
      </c>
      <c r="F191" s="26" t="inlineStr"/>
    </row>
    <row r="192" ht="16" customHeight="1">
      <c r="A192" s="38" t="n">
        <v>45205</v>
      </c>
      <c r="B192" s="51">
        <f>RETORNOS_HIST!C463</f>
        <v/>
      </c>
      <c r="C192" s="41">
        <f>VaR_PARAMÉTRICO!E19</f>
        <v/>
      </c>
      <c r="D192" s="71">
        <f>IF(B192&lt;-C192,"SIM","NÃO")</f>
        <v/>
      </c>
      <c r="E192" s="62">
        <f>IF(D192="SIM",E191+1,E191)</f>
        <v/>
      </c>
      <c r="F192" s="22" t="inlineStr"/>
    </row>
    <row r="193" ht="16" customHeight="1">
      <c r="A193" s="35" t="n">
        <v>45208</v>
      </c>
      <c r="B193" s="52">
        <f>RETORNOS_HIST!C464</f>
        <v/>
      </c>
      <c r="C193" s="44">
        <f>VaR_PARAMÉTRICO!E19</f>
        <v/>
      </c>
      <c r="D193" s="70">
        <f>IF(B193&lt;-C193,"SIM","NÃO")</f>
        <v/>
      </c>
      <c r="E193" s="61">
        <f>IF(D193="SIM",E192+1,E192)</f>
        <v/>
      </c>
      <c r="F193" s="26" t="inlineStr"/>
    </row>
    <row r="194" ht="16" customHeight="1">
      <c r="A194" s="38" t="n">
        <v>45209</v>
      </c>
      <c r="B194" s="51">
        <f>RETORNOS_HIST!C465</f>
        <v/>
      </c>
      <c r="C194" s="41">
        <f>VaR_PARAMÉTRICO!E19</f>
        <v/>
      </c>
      <c r="D194" s="71">
        <f>IF(B194&lt;-C194,"SIM","NÃO")</f>
        <v/>
      </c>
      <c r="E194" s="62">
        <f>IF(D194="SIM",E193+1,E193)</f>
        <v/>
      </c>
      <c r="F194" s="22" t="inlineStr"/>
    </row>
    <row r="195" ht="16" customHeight="1">
      <c r="A195" s="35" t="n">
        <v>45210</v>
      </c>
      <c r="B195" s="52">
        <f>RETORNOS_HIST!C466</f>
        <v/>
      </c>
      <c r="C195" s="44">
        <f>VaR_PARAMÉTRICO!E19</f>
        <v/>
      </c>
      <c r="D195" s="70">
        <f>IF(B195&lt;-C195,"SIM","NÃO")</f>
        <v/>
      </c>
      <c r="E195" s="61">
        <f>IF(D195="SIM",E194+1,E194)</f>
        <v/>
      </c>
      <c r="F195" s="26" t="inlineStr"/>
    </row>
    <row r="196" ht="16" customHeight="1">
      <c r="A196" s="38" t="n">
        <v>45211</v>
      </c>
      <c r="B196" s="51">
        <f>RETORNOS_HIST!C467</f>
        <v/>
      </c>
      <c r="C196" s="41">
        <f>VaR_PARAMÉTRICO!E19</f>
        <v/>
      </c>
      <c r="D196" s="71">
        <f>IF(B196&lt;-C196,"SIM","NÃO")</f>
        <v/>
      </c>
      <c r="E196" s="62">
        <f>IF(D196="SIM",E195+1,E195)</f>
        <v/>
      </c>
      <c r="F196" s="22" t="inlineStr"/>
    </row>
    <row r="197" ht="16" customHeight="1">
      <c r="A197" s="35" t="n">
        <v>45212</v>
      </c>
      <c r="B197" s="52">
        <f>RETORNOS_HIST!C468</f>
        <v/>
      </c>
      <c r="C197" s="44">
        <f>VaR_PARAMÉTRICO!E19</f>
        <v/>
      </c>
      <c r="D197" s="70">
        <f>IF(B197&lt;-C197,"SIM","NÃO")</f>
        <v/>
      </c>
      <c r="E197" s="61">
        <f>IF(D197="SIM",E196+1,E196)</f>
        <v/>
      </c>
      <c r="F197" s="26" t="inlineStr"/>
    </row>
    <row r="198" ht="16" customHeight="1">
      <c r="A198" s="38" t="n">
        <v>45215</v>
      </c>
      <c r="B198" s="51">
        <f>RETORNOS_HIST!C469</f>
        <v/>
      </c>
      <c r="C198" s="41">
        <f>VaR_PARAMÉTRICO!E19</f>
        <v/>
      </c>
      <c r="D198" s="71">
        <f>IF(B198&lt;-C198,"SIM","NÃO")</f>
        <v/>
      </c>
      <c r="E198" s="62">
        <f>IF(D198="SIM",E197+1,E197)</f>
        <v/>
      </c>
      <c r="F198" s="22" t="inlineStr"/>
    </row>
    <row r="199" ht="16" customHeight="1">
      <c r="A199" s="35" t="n">
        <v>45216</v>
      </c>
      <c r="B199" s="52">
        <f>RETORNOS_HIST!C470</f>
        <v/>
      </c>
      <c r="C199" s="44">
        <f>VaR_PARAMÉTRICO!E19</f>
        <v/>
      </c>
      <c r="D199" s="70">
        <f>IF(B199&lt;-C199,"SIM","NÃO")</f>
        <v/>
      </c>
      <c r="E199" s="61">
        <f>IF(D199="SIM",E198+1,E198)</f>
        <v/>
      </c>
      <c r="F199" s="26" t="inlineStr"/>
    </row>
    <row r="200" ht="16" customHeight="1">
      <c r="A200" s="38" t="n">
        <v>45217</v>
      </c>
      <c r="B200" s="51">
        <f>RETORNOS_HIST!C471</f>
        <v/>
      </c>
      <c r="C200" s="41">
        <f>VaR_PARAMÉTRICO!E19</f>
        <v/>
      </c>
      <c r="D200" s="71">
        <f>IF(B200&lt;-C200,"SIM","NÃO")</f>
        <v/>
      </c>
      <c r="E200" s="62">
        <f>IF(D200="SIM",E199+1,E199)</f>
        <v/>
      </c>
      <c r="F200" s="22" t="inlineStr"/>
    </row>
    <row r="201" ht="16" customHeight="1">
      <c r="A201" s="35" t="n">
        <v>45218</v>
      </c>
      <c r="B201" s="52">
        <f>RETORNOS_HIST!C472</f>
        <v/>
      </c>
      <c r="C201" s="44">
        <f>VaR_PARAMÉTRICO!E19</f>
        <v/>
      </c>
      <c r="D201" s="70">
        <f>IF(B201&lt;-C201,"SIM","NÃO")</f>
        <v/>
      </c>
      <c r="E201" s="61">
        <f>IF(D201="SIM",E200+1,E200)</f>
        <v/>
      </c>
      <c r="F201" s="26" t="inlineStr"/>
    </row>
    <row r="202" ht="16" customHeight="1">
      <c r="A202" s="38" t="n">
        <v>45219</v>
      </c>
      <c r="B202" s="51">
        <f>RETORNOS_HIST!C473</f>
        <v/>
      </c>
      <c r="C202" s="41">
        <f>VaR_PARAMÉTRICO!E19</f>
        <v/>
      </c>
      <c r="D202" s="71">
        <f>IF(B202&lt;-C202,"SIM","NÃO")</f>
        <v/>
      </c>
      <c r="E202" s="62">
        <f>IF(D202="SIM",E201+1,E201)</f>
        <v/>
      </c>
      <c r="F202" s="22" t="inlineStr"/>
    </row>
    <row r="203" ht="16" customHeight="1">
      <c r="A203" s="35" t="n">
        <v>45222</v>
      </c>
      <c r="B203" s="52">
        <f>RETORNOS_HIST!C474</f>
        <v/>
      </c>
      <c r="C203" s="44">
        <f>VaR_PARAMÉTRICO!E19</f>
        <v/>
      </c>
      <c r="D203" s="70">
        <f>IF(B203&lt;-C203,"SIM","NÃO")</f>
        <v/>
      </c>
      <c r="E203" s="61">
        <f>IF(D203="SIM",E202+1,E202)</f>
        <v/>
      </c>
      <c r="F203" s="26" t="inlineStr"/>
    </row>
    <row r="204" ht="16" customHeight="1">
      <c r="A204" s="38" t="n">
        <v>45223</v>
      </c>
      <c r="B204" s="51">
        <f>RETORNOS_HIST!C475</f>
        <v/>
      </c>
      <c r="C204" s="41">
        <f>VaR_PARAMÉTRICO!E19</f>
        <v/>
      </c>
      <c r="D204" s="71">
        <f>IF(B204&lt;-C204,"SIM","NÃO")</f>
        <v/>
      </c>
      <c r="E204" s="62">
        <f>IF(D204="SIM",E203+1,E203)</f>
        <v/>
      </c>
      <c r="F204" s="22" t="inlineStr"/>
    </row>
    <row r="205" ht="16" customHeight="1">
      <c r="A205" s="35" t="n">
        <v>45224</v>
      </c>
      <c r="B205" s="52">
        <f>RETORNOS_HIST!C476</f>
        <v/>
      </c>
      <c r="C205" s="44">
        <f>VaR_PARAMÉTRICO!E19</f>
        <v/>
      </c>
      <c r="D205" s="70">
        <f>IF(B205&lt;-C205,"SIM","NÃO")</f>
        <v/>
      </c>
      <c r="E205" s="61">
        <f>IF(D205="SIM",E204+1,E204)</f>
        <v/>
      </c>
      <c r="F205" s="26" t="inlineStr"/>
    </row>
    <row r="206" ht="16" customHeight="1">
      <c r="A206" s="38" t="n">
        <v>45225</v>
      </c>
      <c r="B206" s="51">
        <f>RETORNOS_HIST!C477</f>
        <v/>
      </c>
      <c r="C206" s="41">
        <f>VaR_PARAMÉTRICO!E19</f>
        <v/>
      </c>
      <c r="D206" s="71">
        <f>IF(B206&lt;-C206,"SIM","NÃO")</f>
        <v/>
      </c>
      <c r="E206" s="62">
        <f>IF(D206="SIM",E205+1,E205)</f>
        <v/>
      </c>
      <c r="F206" s="22" t="inlineStr"/>
    </row>
    <row r="207" ht="16" customHeight="1">
      <c r="A207" s="35" t="n">
        <v>45226</v>
      </c>
      <c r="B207" s="52">
        <f>RETORNOS_HIST!C478</f>
        <v/>
      </c>
      <c r="C207" s="44">
        <f>VaR_PARAMÉTRICO!E19</f>
        <v/>
      </c>
      <c r="D207" s="70">
        <f>IF(B207&lt;-C207,"SIM","NÃO")</f>
        <v/>
      </c>
      <c r="E207" s="61">
        <f>IF(D207="SIM",E206+1,E206)</f>
        <v/>
      </c>
      <c r="F207" s="26" t="inlineStr"/>
    </row>
    <row r="208" ht="16" customHeight="1">
      <c r="A208" s="38" t="n">
        <v>45229</v>
      </c>
      <c r="B208" s="51">
        <f>RETORNOS_HIST!C479</f>
        <v/>
      </c>
      <c r="C208" s="41">
        <f>VaR_PARAMÉTRICO!E19</f>
        <v/>
      </c>
      <c r="D208" s="71">
        <f>IF(B208&lt;-C208,"SIM","NÃO")</f>
        <v/>
      </c>
      <c r="E208" s="62">
        <f>IF(D208="SIM",E207+1,E207)</f>
        <v/>
      </c>
      <c r="F208" s="22" t="inlineStr"/>
    </row>
    <row r="209" ht="16" customHeight="1">
      <c r="A209" s="35" t="n">
        <v>45230</v>
      </c>
      <c r="B209" s="52">
        <f>RETORNOS_HIST!C480</f>
        <v/>
      </c>
      <c r="C209" s="44">
        <f>VaR_PARAMÉTRICO!E19</f>
        <v/>
      </c>
      <c r="D209" s="70">
        <f>IF(B209&lt;-C209,"SIM","NÃO")</f>
        <v/>
      </c>
      <c r="E209" s="61">
        <f>IF(D209="SIM",E208+1,E208)</f>
        <v/>
      </c>
      <c r="F209" s="26" t="inlineStr"/>
    </row>
    <row r="210" ht="16" customHeight="1">
      <c r="A210" s="38" t="n">
        <v>45231</v>
      </c>
      <c r="B210" s="51">
        <f>RETORNOS_HIST!C481</f>
        <v/>
      </c>
      <c r="C210" s="41">
        <f>VaR_PARAMÉTRICO!E19</f>
        <v/>
      </c>
      <c r="D210" s="71">
        <f>IF(B210&lt;-C210,"SIM","NÃO")</f>
        <v/>
      </c>
      <c r="E210" s="62">
        <f>IF(D210="SIM",E209+1,E209)</f>
        <v/>
      </c>
      <c r="F210" s="22" t="inlineStr"/>
    </row>
    <row r="211" ht="16" customHeight="1">
      <c r="A211" s="35" t="n">
        <v>45232</v>
      </c>
      <c r="B211" s="52">
        <f>RETORNOS_HIST!C482</f>
        <v/>
      </c>
      <c r="C211" s="44">
        <f>VaR_PARAMÉTRICO!E19</f>
        <v/>
      </c>
      <c r="D211" s="70">
        <f>IF(B211&lt;-C211,"SIM","NÃO")</f>
        <v/>
      </c>
      <c r="E211" s="61">
        <f>IF(D211="SIM",E210+1,E210)</f>
        <v/>
      </c>
      <c r="F211" s="26" t="inlineStr"/>
    </row>
    <row r="212" ht="16" customHeight="1">
      <c r="A212" s="38" t="n">
        <v>45233</v>
      </c>
      <c r="B212" s="51">
        <f>RETORNOS_HIST!C483</f>
        <v/>
      </c>
      <c r="C212" s="41">
        <f>VaR_PARAMÉTRICO!E19</f>
        <v/>
      </c>
      <c r="D212" s="71">
        <f>IF(B212&lt;-C212,"SIM","NÃO")</f>
        <v/>
      </c>
      <c r="E212" s="62">
        <f>IF(D212="SIM",E211+1,E211)</f>
        <v/>
      </c>
      <c r="F212" s="22" t="inlineStr"/>
    </row>
    <row r="213" ht="16" customHeight="1">
      <c r="A213" s="35" t="n">
        <v>45236</v>
      </c>
      <c r="B213" s="52">
        <f>RETORNOS_HIST!C484</f>
        <v/>
      </c>
      <c r="C213" s="44">
        <f>VaR_PARAMÉTRICO!E19</f>
        <v/>
      </c>
      <c r="D213" s="70">
        <f>IF(B213&lt;-C213,"SIM","NÃO")</f>
        <v/>
      </c>
      <c r="E213" s="61">
        <f>IF(D213="SIM",E212+1,E212)</f>
        <v/>
      </c>
      <c r="F213" s="26" t="inlineStr"/>
    </row>
    <row r="214" ht="16" customHeight="1">
      <c r="A214" s="38" t="n">
        <v>45237</v>
      </c>
      <c r="B214" s="51">
        <f>RETORNOS_HIST!C485</f>
        <v/>
      </c>
      <c r="C214" s="41">
        <f>VaR_PARAMÉTRICO!E19</f>
        <v/>
      </c>
      <c r="D214" s="71">
        <f>IF(B214&lt;-C214,"SIM","NÃO")</f>
        <v/>
      </c>
      <c r="E214" s="62">
        <f>IF(D214="SIM",E213+1,E213)</f>
        <v/>
      </c>
      <c r="F214" s="22" t="inlineStr"/>
    </row>
    <row r="215" ht="16" customHeight="1">
      <c r="A215" s="35" t="n">
        <v>45238</v>
      </c>
      <c r="B215" s="52">
        <f>RETORNOS_HIST!C486</f>
        <v/>
      </c>
      <c r="C215" s="44">
        <f>VaR_PARAMÉTRICO!E19</f>
        <v/>
      </c>
      <c r="D215" s="70">
        <f>IF(B215&lt;-C215,"SIM","NÃO")</f>
        <v/>
      </c>
      <c r="E215" s="61">
        <f>IF(D215="SIM",E214+1,E214)</f>
        <v/>
      </c>
      <c r="F215" s="26" t="inlineStr"/>
    </row>
    <row r="216" ht="16" customHeight="1">
      <c r="A216" s="38" t="n">
        <v>45239</v>
      </c>
      <c r="B216" s="51">
        <f>RETORNOS_HIST!C487</f>
        <v/>
      </c>
      <c r="C216" s="41">
        <f>VaR_PARAMÉTRICO!E19</f>
        <v/>
      </c>
      <c r="D216" s="71">
        <f>IF(B216&lt;-C216,"SIM","NÃO")</f>
        <v/>
      </c>
      <c r="E216" s="62">
        <f>IF(D216="SIM",E215+1,E215)</f>
        <v/>
      </c>
      <c r="F216" s="22" t="inlineStr"/>
    </row>
    <row r="217" ht="16" customHeight="1">
      <c r="A217" s="35" t="n">
        <v>45240</v>
      </c>
      <c r="B217" s="52">
        <f>RETORNOS_HIST!C488</f>
        <v/>
      </c>
      <c r="C217" s="44">
        <f>VaR_PARAMÉTRICO!E19</f>
        <v/>
      </c>
      <c r="D217" s="70">
        <f>IF(B217&lt;-C217,"SIM","NÃO")</f>
        <v/>
      </c>
      <c r="E217" s="61">
        <f>IF(D217="SIM",E216+1,E216)</f>
        <v/>
      </c>
      <c r="F217" s="26" t="inlineStr"/>
    </row>
    <row r="218" ht="16" customHeight="1">
      <c r="A218" s="38" t="n">
        <v>45243</v>
      </c>
      <c r="B218" s="51">
        <f>RETORNOS_HIST!C489</f>
        <v/>
      </c>
      <c r="C218" s="41">
        <f>VaR_PARAMÉTRICO!E19</f>
        <v/>
      </c>
      <c r="D218" s="71">
        <f>IF(B218&lt;-C218,"SIM","NÃO")</f>
        <v/>
      </c>
      <c r="E218" s="62">
        <f>IF(D218="SIM",E217+1,E217)</f>
        <v/>
      </c>
      <c r="F218" s="22" t="inlineStr"/>
    </row>
    <row r="219" ht="16" customHeight="1">
      <c r="A219" s="35" t="n">
        <v>45244</v>
      </c>
      <c r="B219" s="52">
        <f>RETORNOS_HIST!C490</f>
        <v/>
      </c>
      <c r="C219" s="44">
        <f>VaR_PARAMÉTRICO!E19</f>
        <v/>
      </c>
      <c r="D219" s="70">
        <f>IF(B219&lt;-C219,"SIM","NÃO")</f>
        <v/>
      </c>
      <c r="E219" s="61">
        <f>IF(D219="SIM",E218+1,E218)</f>
        <v/>
      </c>
      <c r="F219" s="26" t="inlineStr"/>
    </row>
    <row r="220" ht="16" customHeight="1">
      <c r="A220" s="38" t="n">
        <v>45245</v>
      </c>
      <c r="B220" s="51">
        <f>RETORNOS_HIST!C491</f>
        <v/>
      </c>
      <c r="C220" s="41">
        <f>VaR_PARAMÉTRICO!E19</f>
        <v/>
      </c>
      <c r="D220" s="71">
        <f>IF(B220&lt;-C220,"SIM","NÃO")</f>
        <v/>
      </c>
      <c r="E220" s="62">
        <f>IF(D220="SIM",E219+1,E219)</f>
        <v/>
      </c>
      <c r="F220" s="22" t="inlineStr"/>
    </row>
    <row r="221" ht="16" customHeight="1">
      <c r="A221" s="35" t="n">
        <v>45246</v>
      </c>
      <c r="B221" s="52">
        <f>RETORNOS_HIST!C492</f>
        <v/>
      </c>
      <c r="C221" s="44">
        <f>VaR_PARAMÉTRICO!E19</f>
        <v/>
      </c>
      <c r="D221" s="70">
        <f>IF(B221&lt;-C221,"SIM","NÃO")</f>
        <v/>
      </c>
      <c r="E221" s="61">
        <f>IF(D221="SIM",E220+1,E220)</f>
        <v/>
      </c>
      <c r="F221" s="26" t="inlineStr"/>
    </row>
    <row r="222" ht="16" customHeight="1">
      <c r="A222" s="38" t="n">
        <v>45247</v>
      </c>
      <c r="B222" s="51">
        <f>RETORNOS_HIST!C493</f>
        <v/>
      </c>
      <c r="C222" s="41">
        <f>VaR_PARAMÉTRICO!E19</f>
        <v/>
      </c>
      <c r="D222" s="71">
        <f>IF(B222&lt;-C222,"SIM","NÃO")</f>
        <v/>
      </c>
      <c r="E222" s="62">
        <f>IF(D222="SIM",E221+1,E221)</f>
        <v/>
      </c>
      <c r="F222" s="22" t="inlineStr"/>
    </row>
    <row r="223" ht="16" customHeight="1">
      <c r="A223" s="35" t="n">
        <v>45250</v>
      </c>
      <c r="B223" s="52">
        <f>RETORNOS_HIST!C494</f>
        <v/>
      </c>
      <c r="C223" s="44">
        <f>VaR_PARAMÉTRICO!E19</f>
        <v/>
      </c>
      <c r="D223" s="70">
        <f>IF(B223&lt;-C223,"SIM","NÃO")</f>
        <v/>
      </c>
      <c r="E223" s="61">
        <f>IF(D223="SIM",E222+1,E222)</f>
        <v/>
      </c>
      <c r="F223" s="26" t="inlineStr"/>
    </row>
    <row r="224" ht="16" customHeight="1">
      <c r="A224" s="38" t="n">
        <v>45251</v>
      </c>
      <c r="B224" s="51">
        <f>RETORNOS_HIST!C495</f>
        <v/>
      </c>
      <c r="C224" s="41">
        <f>VaR_PARAMÉTRICO!E19</f>
        <v/>
      </c>
      <c r="D224" s="71">
        <f>IF(B224&lt;-C224,"SIM","NÃO")</f>
        <v/>
      </c>
      <c r="E224" s="62">
        <f>IF(D224="SIM",E223+1,E223)</f>
        <v/>
      </c>
      <c r="F224" s="22" t="inlineStr"/>
    </row>
    <row r="225" ht="16" customHeight="1">
      <c r="A225" s="35" t="n">
        <v>45252</v>
      </c>
      <c r="B225" s="52">
        <f>RETORNOS_HIST!C496</f>
        <v/>
      </c>
      <c r="C225" s="44">
        <f>VaR_PARAMÉTRICO!E19</f>
        <v/>
      </c>
      <c r="D225" s="70">
        <f>IF(B225&lt;-C225,"SIM","NÃO")</f>
        <v/>
      </c>
      <c r="E225" s="61">
        <f>IF(D225="SIM",E224+1,E224)</f>
        <v/>
      </c>
      <c r="F225" s="26" t="inlineStr"/>
    </row>
    <row r="226" ht="16" customHeight="1">
      <c r="A226" s="38" t="n">
        <v>45253</v>
      </c>
      <c r="B226" s="51">
        <f>RETORNOS_HIST!C497</f>
        <v/>
      </c>
      <c r="C226" s="41">
        <f>VaR_PARAMÉTRICO!E19</f>
        <v/>
      </c>
      <c r="D226" s="71">
        <f>IF(B226&lt;-C226,"SIM","NÃO")</f>
        <v/>
      </c>
      <c r="E226" s="62">
        <f>IF(D226="SIM",E225+1,E225)</f>
        <v/>
      </c>
      <c r="F226" s="22" t="inlineStr"/>
    </row>
    <row r="227" ht="16" customHeight="1">
      <c r="A227" s="35" t="n">
        <v>45254</v>
      </c>
      <c r="B227" s="52">
        <f>RETORNOS_HIST!C498</f>
        <v/>
      </c>
      <c r="C227" s="44">
        <f>VaR_PARAMÉTRICO!E19</f>
        <v/>
      </c>
      <c r="D227" s="70">
        <f>IF(B227&lt;-C227,"SIM","NÃO")</f>
        <v/>
      </c>
      <c r="E227" s="61">
        <f>IF(D227="SIM",E226+1,E226)</f>
        <v/>
      </c>
      <c r="F227" s="26" t="inlineStr"/>
    </row>
    <row r="228" ht="16" customHeight="1">
      <c r="A228" s="38" t="n">
        <v>45257</v>
      </c>
      <c r="B228" s="51">
        <f>RETORNOS_HIST!C499</f>
        <v/>
      </c>
      <c r="C228" s="41">
        <f>VaR_PARAMÉTRICO!E19</f>
        <v/>
      </c>
      <c r="D228" s="71">
        <f>IF(B228&lt;-C228,"SIM","NÃO")</f>
        <v/>
      </c>
      <c r="E228" s="62">
        <f>IF(D228="SIM",E227+1,E227)</f>
        <v/>
      </c>
      <c r="F228" s="22" t="inlineStr"/>
    </row>
    <row r="229" ht="16" customHeight="1">
      <c r="A229" s="35" t="n">
        <v>45258</v>
      </c>
      <c r="B229" s="52">
        <f>RETORNOS_HIST!C500</f>
        <v/>
      </c>
      <c r="C229" s="44">
        <f>VaR_PARAMÉTRICO!E19</f>
        <v/>
      </c>
      <c r="D229" s="70">
        <f>IF(B229&lt;-C229,"SIM","NÃO")</f>
        <v/>
      </c>
      <c r="E229" s="61">
        <f>IF(D229="SIM",E228+1,E228)</f>
        <v/>
      </c>
      <c r="F229" s="26" t="inlineStr"/>
    </row>
    <row r="230" ht="16" customHeight="1">
      <c r="A230" s="38" t="n">
        <v>45259</v>
      </c>
      <c r="B230" s="51">
        <f>RETORNOS_HIST!C501</f>
        <v/>
      </c>
      <c r="C230" s="41">
        <f>VaR_PARAMÉTRICO!E19</f>
        <v/>
      </c>
      <c r="D230" s="71">
        <f>IF(B230&lt;-C230,"SIM","NÃO")</f>
        <v/>
      </c>
      <c r="E230" s="62">
        <f>IF(D230="SIM",E229+1,E229)</f>
        <v/>
      </c>
      <c r="F230" s="22" t="inlineStr"/>
    </row>
    <row r="231" ht="16" customHeight="1">
      <c r="A231" s="35" t="n">
        <v>45260</v>
      </c>
      <c r="B231" s="52">
        <f>RETORNOS_HIST!C502</f>
        <v/>
      </c>
      <c r="C231" s="44">
        <f>VaR_PARAMÉTRICO!E19</f>
        <v/>
      </c>
      <c r="D231" s="70">
        <f>IF(B231&lt;-C231,"SIM","NÃO")</f>
        <v/>
      </c>
      <c r="E231" s="61">
        <f>IF(D231="SIM",E230+1,E230)</f>
        <v/>
      </c>
      <c r="F231" s="26" t="inlineStr"/>
    </row>
    <row r="232" ht="16" customHeight="1">
      <c r="A232" s="38" t="n">
        <v>45261</v>
      </c>
      <c r="B232" s="51">
        <f>RETORNOS_HIST!C503</f>
        <v/>
      </c>
      <c r="C232" s="41">
        <f>VaR_PARAMÉTRICO!E19</f>
        <v/>
      </c>
      <c r="D232" s="71">
        <f>IF(B232&lt;-C232,"SIM","NÃO")</f>
        <v/>
      </c>
      <c r="E232" s="62">
        <f>IF(D232="SIM",E231+1,E231)</f>
        <v/>
      </c>
      <c r="F232" s="22" t="inlineStr"/>
    </row>
    <row r="233" ht="16" customHeight="1">
      <c r="A233" s="35" t="n">
        <v>45264</v>
      </c>
      <c r="B233" s="52">
        <f>RETORNOS_HIST!C504</f>
        <v/>
      </c>
      <c r="C233" s="44">
        <f>VaR_PARAMÉTRICO!E19</f>
        <v/>
      </c>
      <c r="D233" s="70">
        <f>IF(B233&lt;-C233,"SIM","NÃO")</f>
        <v/>
      </c>
      <c r="E233" s="61">
        <f>IF(D233="SIM",E232+1,E232)</f>
        <v/>
      </c>
      <c r="F233" s="26" t="inlineStr"/>
    </row>
    <row r="234" ht="16" customHeight="1">
      <c r="A234" s="38" t="n">
        <v>45265</v>
      </c>
      <c r="B234" s="51">
        <f>RETORNOS_HIST!C505</f>
        <v/>
      </c>
      <c r="C234" s="41">
        <f>VaR_PARAMÉTRICO!E19</f>
        <v/>
      </c>
      <c r="D234" s="71">
        <f>IF(B234&lt;-C234,"SIM","NÃO")</f>
        <v/>
      </c>
      <c r="E234" s="62">
        <f>IF(D234="SIM",E233+1,E233)</f>
        <v/>
      </c>
      <c r="F234" s="22" t="inlineStr"/>
    </row>
    <row r="235" ht="16" customHeight="1">
      <c r="A235" s="35" t="n">
        <v>45266</v>
      </c>
      <c r="B235" s="52">
        <f>RETORNOS_HIST!C506</f>
        <v/>
      </c>
      <c r="C235" s="44">
        <f>VaR_PARAMÉTRICO!E19</f>
        <v/>
      </c>
      <c r="D235" s="70">
        <f>IF(B235&lt;-C235,"SIM","NÃO")</f>
        <v/>
      </c>
      <c r="E235" s="61">
        <f>IF(D235="SIM",E234+1,E234)</f>
        <v/>
      </c>
      <c r="F235" s="26" t="inlineStr"/>
    </row>
    <row r="236" ht="16" customHeight="1">
      <c r="A236" s="38" t="n">
        <v>45267</v>
      </c>
      <c r="B236" s="51">
        <f>RETORNOS_HIST!C507</f>
        <v/>
      </c>
      <c r="C236" s="41">
        <f>VaR_PARAMÉTRICO!E19</f>
        <v/>
      </c>
      <c r="D236" s="71">
        <f>IF(B236&lt;-C236,"SIM","NÃO")</f>
        <v/>
      </c>
      <c r="E236" s="62">
        <f>IF(D236="SIM",E235+1,E235)</f>
        <v/>
      </c>
      <c r="F236" s="22" t="inlineStr"/>
    </row>
    <row r="237" ht="16" customHeight="1">
      <c r="A237" s="35" t="n">
        <v>45268</v>
      </c>
      <c r="B237" s="52">
        <f>RETORNOS_HIST!C508</f>
        <v/>
      </c>
      <c r="C237" s="44">
        <f>VaR_PARAMÉTRICO!E19</f>
        <v/>
      </c>
      <c r="D237" s="70">
        <f>IF(B237&lt;-C237,"SIM","NÃO")</f>
        <v/>
      </c>
      <c r="E237" s="61">
        <f>IF(D237="SIM",E236+1,E236)</f>
        <v/>
      </c>
      <c r="F237" s="26" t="inlineStr"/>
    </row>
    <row r="238" ht="16" customHeight="1">
      <c r="A238" s="38" t="n">
        <v>45271</v>
      </c>
      <c r="B238" s="51">
        <f>RETORNOS_HIST!C509</f>
        <v/>
      </c>
      <c r="C238" s="41">
        <f>VaR_PARAMÉTRICO!E19</f>
        <v/>
      </c>
      <c r="D238" s="71">
        <f>IF(B238&lt;-C238,"SIM","NÃO")</f>
        <v/>
      </c>
      <c r="E238" s="62">
        <f>IF(D238="SIM",E237+1,E237)</f>
        <v/>
      </c>
      <c r="F238" s="22" t="inlineStr"/>
    </row>
    <row r="239" ht="16" customHeight="1">
      <c r="A239" s="35" t="n">
        <v>45272</v>
      </c>
      <c r="B239" s="52">
        <f>RETORNOS_HIST!C510</f>
        <v/>
      </c>
      <c r="C239" s="44">
        <f>VaR_PARAMÉTRICO!E19</f>
        <v/>
      </c>
      <c r="D239" s="70">
        <f>IF(B239&lt;-C239,"SIM","NÃO")</f>
        <v/>
      </c>
      <c r="E239" s="61">
        <f>IF(D239="SIM",E238+1,E238)</f>
        <v/>
      </c>
      <c r="F239" s="26" t="inlineStr"/>
    </row>
    <row r="240" ht="16" customHeight="1">
      <c r="A240" s="38" t="n">
        <v>45273</v>
      </c>
      <c r="B240" s="51">
        <f>RETORNOS_HIST!C511</f>
        <v/>
      </c>
      <c r="C240" s="41">
        <f>VaR_PARAMÉTRICO!E19</f>
        <v/>
      </c>
      <c r="D240" s="71">
        <f>IF(B240&lt;-C240,"SIM","NÃO")</f>
        <v/>
      </c>
      <c r="E240" s="62">
        <f>IF(D240="SIM",E239+1,E239)</f>
        <v/>
      </c>
      <c r="F240" s="22" t="inlineStr"/>
    </row>
    <row r="241" ht="16" customHeight="1">
      <c r="A241" s="35" t="n">
        <v>45274</v>
      </c>
      <c r="B241" s="52">
        <f>RETORNOS_HIST!C512</f>
        <v/>
      </c>
      <c r="C241" s="44">
        <f>VaR_PARAMÉTRICO!E19</f>
        <v/>
      </c>
      <c r="D241" s="70">
        <f>IF(B241&lt;-C241,"SIM","NÃO")</f>
        <v/>
      </c>
      <c r="E241" s="61">
        <f>IF(D241="SIM",E240+1,E240)</f>
        <v/>
      </c>
      <c r="F241" s="26" t="inlineStr"/>
    </row>
    <row r="242" ht="16" customHeight="1">
      <c r="A242" s="38" t="n">
        <v>45275</v>
      </c>
      <c r="B242" s="51">
        <f>RETORNOS_HIST!C513</f>
        <v/>
      </c>
      <c r="C242" s="41">
        <f>VaR_PARAMÉTRICO!E19</f>
        <v/>
      </c>
      <c r="D242" s="71">
        <f>IF(B242&lt;-C242,"SIM","NÃO")</f>
        <v/>
      </c>
      <c r="E242" s="62">
        <f>IF(D242="SIM",E241+1,E241)</f>
        <v/>
      </c>
      <c r="F242" s="22" t="inlineStr"/>
    </row>
    <row r="243" ht="16" customHeight="1">
      <c r="A243" s="35" t="n">
        <v>45278</v>
      </c>
      <c r="B243" s="52">
        <f>RETORNOS_HIST!C514</f>
        <v/>
      </c>
      <c r="C243" s="44">
        <f>VaR_PARAMÉTRICO!E19</f>
        <v/>
      </c>
      <c r="D243" s="70">
        <f>IF(B243&lt;-C243,"SIM","NÃO")</f>
        <v/>
      </c>
      <c r="E243" s="61">
        <f>IF(D243="SIM",E242+1,E242)</f>
        <v/>
      </c>
      <c r="F243" s="26" t="inlineStr"/>
    </row>
    <row r="244" ht="16" customHeight="1">
      <c r="A244" s="38" t="n">
        <v>45279</v>
      </c>
      <c r="B244" s="51">
        <f>RETORNOS_HIST!C515</f>
        <v/>
      </c>
      <c r="C244" s="41">
        <f>VaR_PARAMÉTRICO!E19</f>
        <v/>
      </c>
      <c r="D244" s="71">
        <f>IF(B244&lt;-C244,"SIM","NÃO")</f>
        <v/>
      </c>
      <c r="E244" s="62">
        <f>IF(D244="SIM",E243+1,E243)</f>
        <v/>
      </c>
      <c r="F244" s="22" t="inlineStr"/>
    </row>
    <row r="245" ht="16" customHeight="1">
      <c r="A245" s="35" t="n">
        <v>45280</v>
      </c>
      <c r="B245" s="52">
        <f>RETORNOS_HIST!C516</f>
        <v/>
      </c>
      <c r="C245" s="44">
        <f>VaR_PARAMÉTRICO!E19</f>
        <v/>
      </c>
      <c r="D245" s="70">
        <f>IF(B245&lt;-C245,"SIM","NÃO")</f>
        <v/>
      </c>
      <c r="E245" s="61">
        <f>IF(D245="SIM",E244+1,E244)</f>
        <v/>
      </c>
      <c r="F245" s="26" t="inlineStr"/>
    </row>
    <row r="246" ht="16" customHeight="1">
      <c r="A246" s="38" t="n">
        <v>45281</v>
      </c>
      <c r="B246" s="51">
        <f>RETORNOS_HIST!C517</f>
        <v/>
      </c>
      <c r="C246" s="41">
        <f>VaR_PARAMÉTRICO!E19</f>
        <v/>
      </c>
      <c r="D246" s="71">
        <f>IF(B246&lt;-C246,"SIM","NÃO")</f>
        <v/>
      </c>
      <c r="E246" s="62">
        <f>IF(D246="SIM",E245+1,E245)</f>
        <v/>
      </c>
      <c r="F246" s="22" t="inlineStr"/>
    </row>
    <row r="247" ht="16" customHeight="1">
      <c r="A247" s="35" t="n">
        <v>45282</v>
      </c>
      <c r="B247" s="52">
        <f>RETORNOS_HIST!C518</f>
        <v/>
      </c>
      <c r="C247" s="44">
        <f>VaR_PARAMÉTRICO!E19</f>
        <v/>
      </c>
      <c r="D247" s="70">
        <f>IF(B247&lt;-C247,"SIM","NÃO")</f>
        <v/>
      </c>
      <c r="E247" s="61">
        <f>IF(D247="SIM",E246+1,E246)</f>
        <v/>
      </c>
      <c r="F247" s="26" t="inlineStr"/>
    </row>
    <row r="248" ht="16" customHeight="1">
      <c r="A248" s="38" t="n">
        <v>45285</v>
      </c>
      <c r="B248" s="51">
        <f>RETORNOS_HIST!C519</f>
        <v/>
      </c>
      <c r="C248" s="41">
        <f>VaR_PARAMÉTRICO!E19</f>
        <v/>
      </c>
      <c r="D248" s="71">
        <f>IF(B248&lt;-C248,"SIM","NÃO")</f>
        <v/>
      </c>
      <c r="E248" s="62">
        <f>IF(D248="SIM",E247+1,E247)</f>
        <v/>
      </c>
      <c r="F248" s="22" t="inlineStr"/>
    </row>
    <row r="249" ht="16" customHeight="1">
      <c r="A249" s="35" t="n">
        <v>45286</v>
      </c>
      <c r="B249" s="52">
        <f>RETORNOS_HIST!C520</f>
        <v/>
      </c>
      <c r="C249" s="44">
        <f>VaR_PARAMÉTRICO!E19</f>
        <v/>
      </c>
      <c r="D249" s="70">
        <f>IF(B249&lt;-C249,"SIM","NÃO")</f>
        <v/>
      </c>
      <c r="E249" s="61">
        <f>IF(D249="SIM",E248+1,E248)</f>
        <v/>
      </c>
      <c r="F249" s="26" t="inlineStr"/>
    </row>
    <row r="250" ht="16" customHeight="1">
      <c r="A250" s="38" t="n">
        <v>45287</v>
      </c>
      <c r="B250" s="51">
        <f>RETORNOS_HIST!C521</f>
        <v/>
      </c>
      <c r="C250" s="41">
        <f>VaR_PARAMÉTRICO!E19</f>
        <v/>
      </c>
      <c r="D250" s="71">
        <f>IF(B250&lt;-C250,"SIM","NÃO")</f>
        <v/>
      </c>
      <c r="E250" s="62">
        <f>IF(D250="SIM",E249+1,E249)</f>
        <v/>
      </c>
      <c r="F250" s="22" t="inlineStr"/>
    </row>
    <row r="251" ht="16" customHeight="1">
      <c r="A251" s="35" t="n">
        <v>45288</v>
      </c>
      <c r="B251" s="52">
        <f>RETORNOS_HIST!C522</f>
        <v/>
      </c>
      <c r="C251" s="44">
        <f>VaR_PARAMÉTRICO!E19</f>
        <v/>
      </c>
      <c r="D251" s="70">
        <f>IF(B251&lt;-C251,"SIM","NÃO")</f>
        <v/>
      </c>
      <c r="E251" s="61">
        <f>IF(D251="SIM",E250+1,E250)</f>
        <v/>
      </c>
      <c r="F251" s="26" t="inlineStr"/>
    </row>
    <row r="252" ht="16" customHeight="1">
      <c r="A252" s="38" t="n">
        <v>45289</v>
      </c>
      <c r="B252" s="51">
        <f>RETORNOS_HIST!C523</f>
        <v/>
      </c>
      <c r="C252" s="41">
        <f>VaR_PARAMÉTRICO!E19</f>
        <v/>
      </c>
      <c r="D252" s="71">
        <f>IF(B252&lt;-C252,"SIM","NÃO")</f>
        <v/>
      </c>
      <c r="E252" s="62">
        <f>IF(D252="SIM",E251+1,E251)</f>
        <v/>
      </c>
      <c r="F252" s="22" t="inlineStr"/>
    </row>
    <row r="254">
      <c r="A254" s="10" t="inlineStr">
        <is>
          <t>RESULTADO DO BACKTESTING</t>
        </is>
      </c>
    </row>
    <row r="255" ht="20" customHeight="1">
      <c r="A255" s="24" t="inlineStr">
        <is>
          <t>Total Observações (dias úteis)</t>
        </is>
      </c>
      <c r="B255" s="61">
        <f>COUNTA(A3:A252)</f>
        <v/>
      </c>
      <c r="C255" s="13" t="n"/>
      <c r="D255" s="13" t="n"/>
      <c r="E255" s="13" t="n"/>
      <c r="F255" s="13" t="n"/>
      <c r="G255" s="14" t="n"/>
    </row>
    <row r="256" ht="20" customHeight="1">
      <c r="A256" s="20" t="inlineStr">
        <is>
          <t>Total Exceções (SIM)</t>
        </is>
      </c>
      <c r="B256" s="62">
        <f>COUNTIF(D3:D252,"SIM")</f>
        <v/>
      </c>
      <c r="C256" s="13" t="n"/>
      <c r="D256" s="13" t="n"/>
      <c r="E256" s="13" t="n"/>
      <c r="F256" s="13" t="n"/>
      <c r="G256" s="14" t="n"/>
    </row>
    <row r="257" ht="20" customHeight="1">
      <c r="A257" s="24" t="inlineStr">
        <is>
          <t>% Exceções</t>
        </is>
      </c>
      <c r="B257" s="44">
        <f>COUNTIF(D3:D252,"SIM")/COUNTA(A3:A252)</f>
        <v/>
      </c>
      <c r="C257" s="13" t="n"/>
      <c r="D257" s="13" t="n"/>
      <c r="E257" s="13" t="n"/>
      <c r="F257" s="13" t="n"/>
      <c r="G257" s="14" t="n"/>
    </row>
    <row r="258" ht="20" customHeight="1">
      <c r="A258" s="20" t="inlineStr">
        <is>
          <t>Limite Regulatório (Basileia)</t>
        </is>
      </c>
      <c r="B258" s="72">
        <f>PARÂMETROS!B28&amp;" exceções em "&amp;PARÂMETROS!B14&amp;" dias"</f>
        <v/>
      </c>
      <c r="C258" s="13" t="n"/>
      <c r="D258" s="13" t="n"/>
      <c r="E258" s="13" t="n"/>
      <c r="F258" s="13" t="n"/>
      <c r="G258" s="14" t="n"/>
    </row>
    <row r="260">
      <c r="A260" s="10" t="inlineStr">
        <is>
          <t>SEMÁFORO DE BASILEIA</t>
        </is>
      </c>
    </row>
    <row r="261" ht="22" customHeight="1">
      <c r="A261" s="73" t="inlineStr">
        <is>
          <t>ZONA VERDE</t>
        </is>
      </c>
      <c r="B261" s="74" t="inlineStr">
        <is>
          <t>0 – 4 exceções</t>
        </is>
      </c>
      <c r="C261" s="14" t="n"/>
      <c r="D261" s="75" t="inlineStr">
        <is>
          <t>Fator multiplicador = 3,00</t>
        </is>
      </c>
      <c r="E261" s="13" t="n"/>
      <c r="F261" s="13" t="n"/>
      <c r="G261" s="14" t="n"/>
    </row>
    <row r="262" ht="22" customHeight="1">
      <c r="A262" s="76" t="inlineStr">
        <is>
          <t>ZONA AMARELA</t>
        </is>
      </c>
      <c r="B262" s="77" t="inlineStr">
        <is>
          <t>5 – 9 exceções</t>
        </is>
      </c>
      <c r="C262" s="14" t="n"/>
      <c r="D262" s="78" t="inlineStr">
        <is>
          <t>Fator multiplicador = 3,40 a 3,85</t>
        </is>
      </c>
      <c r="E262" s="13" t="n"/>
      <c r="F262" s="13" t="n"/>
      <c r="G262" s="14" t="n"/>
    </row>
    <row r="263" ht="22" customHeight="1">
      <c r="A263" s="79" t="inlineStr">
        <is>
          <t>ZONA VERMELHA</t>
        </is>
      </c>
      <c r="B263" s="80" t="inlineStr">
        <is>
          <t>≥ 10 exceções</t>
        </is>
      </c>
      <c r="C263" s="14" t="n"/>
      <c r="D263" s="81" t="inlineStr">
        <is>
          <t>Modelo rejeitado – fator = 4,00</t>
        </is>
      </c>
      <c r="E263" s="13" t="n"/>
      <c r="F263" s="13" t="n"/>
      <c r="G263" s="14" t="n"/>
    </row>
    <row r="265" ht="30" customHeight="1">
      <c r="A265" s="82" t="inlineStr">
        <is>
          <t>CLASSIFICAÇÃO ATUAL:</t>
        </is>
      </c>
      <c r="C265" s="83">
        <f>IF(COUNTIF(D3:D252,"SIM")&gt;=PARÂMETROS!B30,"🔴 ZONA VERMELHA – MODELO SOB REVISÃO",IF(COUNTIF(D3:D252,"SIM")&gt;=PARÂMETROS!B28,"🟡 ZONA AMARELA – ATENÇÃO","🟢 ZONA VERDE – MODELO APROVADO"))</f>
        <v/>
      </c>
    </row>
  </sheetData>
  <mergeCells count="15">
    <mergeCell ref="A254:G254"/>
    <mergeCell ref="D263:G263"/>
    <mergeCell ref="A1:G1"/>
    <mergeCell ref="B256:G256"/>
    <mergeCell ref="B262:C262"/>
    <mergeCell ref="B261:C261"/>
    <mergeCell ref="D261:G261"/>
    <mergeCell ref="A265:B265"/>
    <mergeCell ref="C265:G265"/>
    <mergeCell ref="B257:G257"/>
    <mergeCell ref="B255:G255"/>
    <mergeCell ref="D262:G262"/>
    <mergeCell ref="A260:G260"/>
    <mergeCell ref="B258:G258"/>
    <mergeCell ref="B263:C26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18" customWidth="1" min="4" max="4"/>
    <col width="22" customWidth="1" min="5" max="5"/>
    <col width="22" customWidth="1" min="6" max="6"/>
    <col width="22" customWidth="1" min="7" max="7"/>
    <col width="18" customWidth="1" min="8" max="8"/>
  </cols>
  <sheetData>
    <row r="1" ht="40" customHeight="1">
      <c r="A1" s="17" t="inlineStr">
        <is>
          <t>TESTES DE ESTRESSE – CENÁRIOS HISTÓRICOS E HIPOTÉTICOS</t>
        </is>
      </c>
    </row>
    <row r="2" ht="22" customHeight="1">
      <c r="A2" s="19" t="inlineStr">
        <is>
          <t>1. CENÁRIOS HISTÓRICOS</t>
        </is>
      </c>
    </row>
    <row r="3">
      <c r="A3" s="18" t="inlineStr">
        <is>
          <t>EVENTO</t>
        </is>
      </c>
      <c r="B3" s="18" t="inlineStr">
        <is>
          <t>PERÍODO</t>
        </is>
      </c>
      <c r="C3" s="18" t="inlineStr">
        <is>
          <t>QUEDA MÁX. IBOV (%)</t>
        </is>
      </c>
      <c r="D3" s="18" t="inlineStr">
        <is>
          <t>PIOR DIA (%)</t>
        </is>
      </c>
      <c r="E3" s="18" t="inlineStr">
        <is>
          <t>DURAÇÃO (dias)</t>
        </is>
      </c>
      <c r="F3" s="18" t="inlineStr">
        <is>
          <t>IBOV INICIAL</t>
        </is>
      </c>
      <c r="G3" s="18" t="inlineStr">
        <is>
          <t>IBOV MÍN.</t>
        </is>
      </c>
      <c r="H3" s="18" t="inlineStr">
        <is>
          <t>IMPACTO (R$)</t>
        </is>
      </c>
    </row>
    <row r="4" ht="20" customHeight="1">
      <c r="A4" s="20" t="inlineStr">
        <is>
          <t>Crise Subprime 2008</t>
        </is>
      </c>
      <c r="B4" s="16" t="inlineStr">
        <is>
          <t>Set/2008 – Mar/2009</t>
        </is>
      </c>
      <c r="C4" s="84" t="n">
        <v>-0.602</v>
      </c>
      <c r="D4" s="84" t="n">
        <v>-0.124</v>
      </c>
      <c r="E4" s="85" t="n">
        <v>180</v>
      </c>
      <c r="F4" s="39" t="n">
        <v>73920</v>
      </c>
      <c r="G4" s="39" t="n">
        <v>29435</v>
      </c>
      <c r="H4" s="59">
        <f>C4*PARÂMETROS!B24</f>
        <v/>
      </c>
    </row>
    <row r="5" ht="20" customHeight="1">
      <c r="A5" s="24" t="inlineStr">
        <is>
          <t>Crise Europeia 2011</t>
        </is>
      </c>
      <c r="B5" s="12" t="inlineStr">
        <is>
          <t>Jul/2011 – Ago/2011</t>
        </is>
      </c>
      <c r="C5" s="86" t="n">
        <v>-0.272</v>
      </c>
      <c r="D5" s="86" t="n">
        <v>-0.068</v>
      </c>
      <c r="E5" s="87" t="n">
        <v>45</v>
      </c>
      <c r="F5" s="36" t="n">
        <v>65000</v>
      </c>
      <c r="G5" s="36" t="n">
        <v>47318</v>
      </c>
      <c r="H5" s="57">
        <f>C5*PARÂMETROS!B24</f>
        <v/>
      </c>
    </row>
    <row r="6" ht="20" customHeight="1">
      <c r="A6" s="20" t="inlineStr">
        <is>
          <t>Crise Política Brasil 2015</t>
        </is>
      </c>
      <c r="B6" s="16" t="inlineStr">
        <is>
          <t>Jan/2015 – Set/2015</t>
        </is>
      </c>
      <c r="C6" s="84" t="n">
        <v>-0.341</v>
      </c>
      <c r="D6" s="84" t="n">
        <v>-0.051</v>
      </c>
      <c r="E6" s="85" t="n">
        <v>180</v>
      </c>
      <c r="F6" s="39" t="n">
        <v>51000</v>
      </c>
      <c r="G6" s="39" t="n">
        <v>37046</v>
      </c>
      <c r="H6" s="59">
        <f>C6*PARÂMETROS!B24</f>
        <v/>
      </c>
    </row>
    <row r="7" ht="20" customHeight="1">
      <c r="A7" s="24" t="inlineStr">
        <is>
          <t>COVID-19 Crash Mar/2020</t>
        </is>
      </c>
      <c r="B7" s="12" t="inlineStr">
        <is>
          <t>Fev/2020 – Mar/2020</t>
        </is>
      </c>
      <c r="C7" s="86" t="n">
        <v>-0.466</v>
      </c>
      <c r="D7" s="86" t="n">
        <v>-0.145</v>
      </c>
      <c r="E7" s="87" t="n">
        <v>30</v>
      </c>
      <c r="F7" s="36" t="n">
        <v>119527</v>
      </c>
      <c r="G7" s="36" t="n">
        <v>63570</v>
      </c>
      <c r="H7" s="57">
        <f>C7*PARÂMETROS!B24</f>
        <v/>
      </c>
    </row>
    <row r="8" ht="20" customHeight="1">
      <c r="A8" s="20" t="inlineStr">
        <is>
          <t>Crise Americanas Jan/2023</t>
        </is>
      </c>
      <c r="B8" s="16" t="inlineStr">
        <is>
          <t>Jan/2023</t>
        </is>
      </c>
      <c r="C8" s="84" t="n">
        <v>-0.038</v>
      </c>
      <c r="D8" s="84" t="n">
        <v>-0.031</v>
      </c>
      <c r="E8" s="85" t="n">
        <v>5</v>
      </c>
      <c r="F8" s="39" t="n">
        <v>109000</v>
      </c>
      <c r="G8" s="39" t="n">
        <v>104823</v>
      </c>
      <c r="H8" s="59">
        <f>C8*PARÂMETROS!B24</f>
        <v/>
      </c>
    </row>
    <row r="9" ht="20" customHeight="1">
      <c r="A9" s="24" t="inlineStr">
        <is>
          <t>Eleições Out/2022</t>
        </is>
      </c>
      <c r="B9" s="12" t="inlineStr">
        <is>
          <t>Out/2022</t>
        </is>
      </c>
      <c r="C9" s="86" t="n">
        <v>-0.052</v>
      </c>
      <c r="D9" s="86" t="n">
        <v>-0.041</v>
      </c>
      <c r="E9" s="87" t="n">
        <v>10</v>
      </c>
      <c r="F9" s="36" t="n">
        <v>116000</v>
      </c>
      <c r="G9" s="36" t="n">
        <v>109965</v>
      </c>
      <c r="H9" s="57">
        <f>C9*PARÂMETROS!B24</f>
        <v/>
      </c>
    </row>
    <row r="11" ht="22" customHeight="1">
      <c r="A11" s="19" t="inlineStr">
        <is>
          <t>2. CENÁRIOS HIPOTÉTICOS (choque instantâneo no Ibovespa)</t>
        </is>
      </c>
    </row>
    <row r="12">
      <c r="A12" s="18" t="inlineStr">
        <is>
          <t>CENÁRIO</t>
        </is>
      </c>
      <c r="B12" s="18" t="inlineStr">
        <is>
          <t>QUEDA HIPOTÉTICA (%)</t>
        </is>
      </c>
      <c r="C12" s="18" t="inlineStr">
        <is>
          <t>IMPACTO (R$)</t>
        </is>
      </c>
      <c r="D12" s="18" t="inlineStr">
        <is>
          <t>VaR DIÁRIO EQUIV. (%)</t>
        </is>
      </c>
      <c r="E12" s="18" t="inlineStr">
        <is>
          <t>MÚLTIPLO DO VaR 99%</t>
        </is>
      </c>
      <c r="F12" s="18" t="inlineStr">
        <is>
          <t>PROBABILIDADE NORMAL</t>
        </is>
      </c>
      <c r="G12" s="18" t="inlineStr">
        <is>
          <t>CLASSIFICAÇÃO</t>
        </is>
      </c>
    </row>
    <row r="13" ht="20" customHeight="1">
      <c r="A13" s="24" t="inlineStr">
        <is>
          <t>Queda de 5%</t>
        </is>
      </c>
      <c r="B13" s="60" t="n">
        <v>-0.05</v>
      </c>
      <c r="C13" s="57">
        <f>B13*PARÂMETROS!B24</f>
        <v/>
      </c>
      <c r="D13" s="44">
        <f>ABS(B13)</f>
        <v/>
      </c>
      <c r="E13" s="88">
        <f>ABS(B13)/VaR_PARAMÉTRICO!E19</f>
        <v/>
      </c>
      <c r="F13" s="43">
        <f>NORM.DIST(B13/VaR_PARAMÉTRICO!B7,0,1,TRUE)</f>
        <v/>
      </c>
      <c r="G13" s="70">
        <f>IF(ABS(B13)&gt;VaR_PARAMÉTRICO!E19*3,"EXTREMO",IF(ABS(B13)&gt;VaR_PARAMÉTRICO!E19,"SEVERO","MODERADO"))</f>
        <v/>
      </c>
    </row>
    <row r="14" ht="20" customHeight="1">
      <c r="A14" s="20" t="inlineStr">
        <is>
          <t>Queda de 10%</t>
        </is>
      </c>
      <c r="B14" s="60" t="n">
        <v>-0.1</v>
      </c>
      <c r="C14" s="59">
        <f>B14*PARÂMETROS!B24</f>
        <v/>
      </c>
      <c r="D14" s="41">
        <f>ABS(B14)</f>
        <v/>
      </c>
      <c r="E14" s="89">
        <f>ABS(B14)/VaR_PARAMÉTRICO!E19</f>
        <v/>
      </c>
      <c r="F14" s="40">
        <f>NORM.DIST(B14/VaR_PARAMÉTRICO!B7,0,1,TRUE)</f>
        <v/>
      </c>
      <c r="G14" s="71">
        <f>IF(ABS(B14)&gt;VaR_PARAMÉTRICO!E19*3,"EXTREMO",IF(ABS(B14)&gt;VaR_PARAMÉTRICO!E19,"SEVERO","MODERADO"))</f>
        <v/>
      </c>
    </row>
    <row r="15" ht="20" customHeight="1">
      <c r="A15" s="24" t="inlineStr">
        <is>
          <t>Queda de 15%</t>
        </is>
      </c>
      <c r="B15" s="60" t="n">
        <v>-0.15</v>
      </c>
      <c r="C15" s="57">
        <f>B15*PARÂMETROS!B24</f>
        <v/>
      </c>
      <c r="D15" s="44">
        <f>ABS(B15)</f>
        <v/>
      </c>
      <c r="E15" s="88">
        <f>ABS(B15)/VaR_PARAMÉTRICO!E19</f>
        <v/>
      </c>
      <c r="F15" s="43">
        <f>NORM.DIST(B15/VaR_PARAMÉTRICO!B7,0,1,TRUE)</f>
        <v/>
      </c>
      <c r="G15" s="70">
        <f>IF(ABS(B15)&gt;VaR_PARAMÉTRICO!E19*3,"EXTREMO",IF(ABS(B15)&gt;VaR_PARAMÉTRICO!E19,"SEVERO","MODERADO"))</f>
        <v/>
      </c>
    </row>
    <row r="16" ht="20" customHeight="1">
      <c r="A16" s="20" t="inlineStr">
        <is>
          <t>Queda de 20%</t>
        </is>
      </c>
      <c r="B16" s="60" t="n">
        <v>-0.2</v>
      </c>
      <c r="C16" s="59">
        <f>B16*PARÂMETROS!B24</f>
        <v/>
      </c>
      <c r="D16" s="41">
        <f>ABS(B16)</f>
        <v/>
      </c>
      <c r="E16" s="89">
        <f>ABS(B16)/VaR_PARAMÉTRICO!E19</f>
        <v/>
      </c>
      <c r="F16" s="40">
        <f>NORM.DIST(B16/VaR_PARAMÉTRICO!B7,0,1,TRUE)</f>
        <v/>
      </c>
      <c r="G16" s="71">
        <f>IF(ABS(B16)&gt;VaR_PARAMÉTRICO!E19*3,"EXTREMO",IF(ABS(B16)&gt;VaR_PARAMÉTRICO!E19,"SEVERO","MODERADO"))</f>
        <v/>
      </c>
    </row>
    <row r="17" ht="20" customHeight="1">
      <c r="A17" s="24" t="inlineStr">
        <is>
          <t>Queda de 25%</t>
        </is>
      </c>
      <c r="B17" s="60" t="n">
        <v>-0.25</v>
      </c>
      <c r="C17" s="57">
        <f>B17*PARÂMETROS!B24</f>
        <v/>
      </c>
      <c r="D17" s="44">
        <f>ABS(B17)</f>
        <v/>
      </c>
      <c r="E17" s="88">
        <f>ABS(B17)/VaR_PARAMÉTRICO!E19</f>
        <v/>
      </c>
      <c r="F17" s="43">
        <f>NORM.DIST(B17/VaR_PARAMÉTRICO!B7,0,1,TRUE)</f>
        <v/>
      </c>
      <c r="G17" s="70">
        <f>IF(ABS(B17)&gt;VaR_PARAMÉTRICO!E19*3,"EXTREMO",IF(ABS(B17)&gt;VaR_PARAMÉTRICO!E19,"SEVERO","MODERADO"))</f>
        <v/>
      </c>
    </row>
    <row r="18" ht="20" customHeight="1">
      <c r="A18" s="20" t="inlineStr">
        <is>
          <t>Queda de 30%</t>
        </is>
      </c>
      <c r="B18" s="60" t="n">
        <v>-0.3</v>
      </c>
      <c r="C18" s="59">
        <f>B18*PARÂMETROS!B24</f>
        <v/>
      </c>
      <c r="D18" s="41">
        <f>ABS(B18)</f>
        <v/>
      </c>
      <c r="E18" s="89">
        <f>ABS(B18)/VaR_PARAMÉTRICO!E19</f>
        <v/>
      </c>
      <c r="F18" s="40">
        <f>NORM.DIST(B18/VaR_PARAMÉTRICO!B7,0,1,TRUE)</f>
        <v/>
      </c>
      <c r="G18" s="71">
        <f>IF(ABS(B18)&gt;VaR_PARAMÉTRICO!E19*3,"EXTREMO",IF(ABS(B18)&gt;VaR_PARAMÉTRICO!E19,"SEVERO","MODERADO"))</f>
        <v/>
      </c>
    </row>
    <row r="19" ht="20" customHeight="1">
      <c r="A19" s="24" t="inlineStr">
        <is>
          <t>Queda de 40%</t>
        </is>
      </c>
      <c r="B19" s="60" t="n">
        <v>-0.4</v>
      </c>
      <c r="C19" s="57">
        <f>B19*PARÂMETROS!B24</f>
        <v/>
      </c>
      <c r="D19" s="44">
        <f>ABS(B19)</f>
        <v/>
      </c>
      <c r="E19" s="88">
        <f>ABS(B19)/VaR_PARAMÉTRICO!E19</f>
        <v/>
      </c>
      <c r="F19" s="43">
        <f>NORM.DIST(B19/VaR_PARAMÉTRICO!B7,0,1,TRUE)</f>
        <v/>
      </c>
      <c r="G19" s="70">
        <f>IF(ABS(B19)&gt;VaR_PARAMÉTRICO!E19*3,"EXTREMO",IF(ABS(B19)&gt;VaR_PARAMÉTRICO!E19,"SEVERO","MODERADO"))</f>
        <v/>
      </c>
    </row>
    <row r="20" ht="20" customHeight="1">
      <c r="A20" s="20" t="inlineStr">
        <is>
          <t>Queda de 50%</t>
        </is>
      </c>
      <c r="B20" s="60" t="n">
        <v>-0.5</v>
      </c>
      <c r="C20" s="59">
        <f>B20*PARÂMETROS!B24</f>
        <v/>
      </c>
      <c r="D20" s="41">
        <f>ABS(B20)</f>
        <v/>
      </c>
      <c r="E20" s="89">
        <f>ABS(B20)/VaR_PARAMÉTRICO!E19</f>
        <v/>
      </c>
      <c r="F20" s="40">
        <f>NORM.DIST(B20/VaR_PARAMÉTRICO!B7,0,1,TRUE)</f>
        <v/>
      </c>
      <c r="G20" s="71">
        <f>IF(ABS(B20)&gt;VaR_PARAMÉTRICO!E19*3,"EXTREMO",IF(ABS(B20)&gt;VaR_PARAMÉTRICO!E19,"SEVERO","MODERADO"))</f>
        <v/>
      </c>
    </row>
    <row r="22" ht="22" customHeight="1">
      <c r="A22" s="19" t="inlineStr">
        <is>
          <t>3. SENSIBILIDADE DO VaR POR NÍVEL DE CONFIANÇA</t>
        </is>
      </c>
    </row>
    <row r="23">
      <c r="A23" s="18" t="inlineStr">
        <is>
          <t>NÍVEL CONFIANÇA</t>
        </is>
      </c>
      <c r="B23" s="18" t="inlineStr">
        <is>
          <t>Z-SCORE</t>
        </is>
      </c>
      <c r="C23" s="18" t="inlineStr">
        <is>
          <t>VaR PARAM. (%)</t>
        </is>
      </c>
      <c r="D23" s="18" t="inlineStr">
        <is>
          <t>VaR PARAM. (R$)</t>
        </is>
      </c>
      <c r="E23" s="18" t="inlineStr">
        <is>
          <t>VaR HIST. (%)</t>
        </is>
      </c>
    </row>
    <row r="24" ht="20" customHeight="1">
      <c r="A24" s="60" t="n">
        <v>0.9</v>
      </c>
      <c r="B24" s="90" t="n">
        <v>1.282</v>
      </c>
      <c r="C24" s="41">
        <f>B24*VaR_PARAMÉTRICO!B7</f>
        <v/>
      </c>
      <c r="D24" s="59">
        <f>C24*PARÂMETROS!B24</f>
        <v/>
      </c>
      <c r="E24" s="41">
        <f>ABS(PERCENTILE(RETORNOS_HIST!C4:C522,1-A24))</f>
        <v/>
      </c>
    </row>
    <row r="25" ht="20" customHeight="1">
      <c r="A25" s="60" t="n">
        <v>0.95</v>
      </c>
      <c r="B25" s="90" t="n">
        <v>1.645</v>
      </c>
      <c r="C25" s="44">
        <f>B25*VaR_PARAMÉTRICO!B7</f>
        <v/>
      </c>
      <c r="D25" s="57">
        <f>C25*PARÂMETROS!B24</f>
        <v/>
      </c>
      <c r="E25" s="44">
        <f>ABS(PERCENTILE(RETORNOS_HIST!C4:C522,1-A25))</f>
        <v/>
      </c>
    </row>
    <row r="26" ht="20" customHeight="1">
      <c r="A26" s="60" t="n">
        <v>0.975</v>
      </c>
      <c r="B26" s="90" t="n">
        <v>1.96</v>
      </c>
      <c r="C26" s="41">
        <f>B26*VaR_PARAMÉTRICO!B7</f>
        <v/>
      </c>
      <c r="D26" s="59">
        <f>C26*PARÂMETROS!B24</f>
        <v/>
      </c>
      <c r="E26" s="41">
        <f>ABS(PERCENTILE(RETORNOS_HIST!C4:C522,1-A26))</f>
        <v/>
      </c>
    </row>
    <row r="27" ht="20" customHeight="1">
      <c r="A27" s="60" t="n">
        <v>0.99</v>
      </c>
      <c r="B27" s="90" t="n">
        <v>2.326</v>
      </c>
      <c r="C27" s="44">
        <f>B27*VaR_PARAMÉTRICO!B7</f>
        <v/>
      </c>
      <c r="D27" s="57">
        <f>C27*PARÂMETROS!B24</f>
        <v/>
      </c>
      <c r="E27" s="44">
        <f>ABS(PERCENTILE(RETORNOS_HIST!C4:C522,1-A27))</f>
        <v/>
      </c>
    </row>
    <row r="28" ht="20" customHeight="1">
      <c r="A28" s="60" t="n">
        <v>0.995</v>
      </c>
      <c r="B28" s="90" t="n">
        <v>2.576</v>
      </c>
      <c r="C28" s="41">
        <f>B28*VaR_PARAMÉTRICO!B7</f>
        <v/>
      </c>
      <c r="D28" s="59">
        <f>C28*PARÂMETROS!B24</f>
        <v/>
      </c>
      <c r="E28" s="41">
        <f>ABS(PERCENTILE(RETORNOS_HIST!C4:C522,1-A28))</f>
        <v/>
      </c>
    </row>
    <row r="29" ht="20" customHeight="1">
      <c r="A29" s="60" t="n">
        <v>0.999</v>
      </c>
      <c r="B29" s="90" t="n">
        <v>3.09</v>
      </c>
      <c r="C29" s="44">
        <f>B29*VaR_PARAMÉTRICO!B7</f>
        <v/>
      </c>
      <c r="D29" s="57">
        <f>C29*PARÂMETROS!B24</f>
        <v/>
      </c>
      <c r="E29" s="44">
        <f>ABS(PERCENTILE(RETORNOS_HIST!C4:C522,1-A29))</f>
        <v/>
      </c>
    </row>
  </sheetData>
  <mergeCells count="4">
    <mergeCell ref="A2:F2"/>
    <mergeCell ref="A11:F11"/>
    <mergeCell ref="A22:F2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K1024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3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</cols>
  <sheetData>
    <row r="1" ht="40" customHeight="1">
      <c r="A1" s="17" t="inlineStr">
        <is>
          <t>SIMULAÇÃO MONTE CARLO – 1 000 CENÁRIOS (VALORES FIXOS)</t>
        </is>
      </c>
    </row>
    <row r="2">
      <c r="A2" s="91" t="inlineStr">
        <is>
          <t>Metodologia: Gera N cenários de retorno diário assumindo distribuição Normal: r_i = μ + σ × Z_i, onde Z_i ~ N(0,1). μ e σ são estimados a partir da janela histórica. Os valores abaixo são FIXOS (semente aleatória = 42) para reprodutibilidade do modelo. O VaR é estimado como o percentil (1-α) dos cenários simulados. Para re-simulação, alterar a semente nos parâmetros.</t>
        </is>
      </c>
    </row>
    <row r="3"/>
    <row r="4"/>
    <row r="5" ht="22" customHeight="1">
      <c r="A5" s="19" t="inlineStr">
        <is>
          <t>PARÂMETROS DA SIMULAÇÃO</t>
        </is>
      </c>
    </row>
    <row r="6" ht="18" customHeight="1">
      <c r="A6" s="20" t="inlineStr">
        <is>
          <t>μ (média histórica)</t>
        </is>
      </c>
      <c r="B6" s="69">
        <f>AVERAGE(RETORNOS_HIST!C4:C522)</f>
        <v/>
      </c>
    </row>
    <row r="7" ht="18" customHeight="1">
      <c r="A7" s="24" t="inlineStr">
        <is>
          <t>σ (desvio padrão histórico)</t>
        </is>
      </c>
      <c r="B7" s="68">
        <f>STDEV(RETORNOS_HIST!C4:C522)</f>
        <v/>
      </c>
    </row>
    <row r="8" ht="18" customHeight="1">
      <c r="A8" s="20" t="inlineStr">
        <is>
          <t>N simulações</t>
        </is>
      </c>
      <c r="B8" s="28" t="n">
        <v>1000</v>
      </c>
    </row>
    <row r="9" ht="18" customHeight="1">
      <c r="A9" s="24" t="inlineStr">
        <is>
          <t>Horizonte</t>
        </is>
      </c>
      <c r="B9" s="92" t="n">
        <v>1</v>
      </c>
    </row>
    <row r="10" ht="18" customHeight="1">
      <c r="A10" s="20" t="inlineStr">
        <is>
          <t>Semente aleatória</t>
        </is>
      </c>
      <c r="B10" s="28" t="n">
        <v>42</v>
      </c>
    </row>
    <row r="11" ht="18" customHeight="1">
      <c r="A11" s="24" t="inlineStr">
        <is>
          <t>Nocional</t>
        </is>
      </c>
      <c r="B11" s="54">
        <f>PARÂMETROS!B24</f>
        <v/>
      </c>
    </row>
    <row r="13" ht="22" customHeight="1">
      <c r="A13" s="19" t="inlineStr">
        <is>
          <t>CENÁRIOS SIMULADOS (primeiros 500 exibidos; todos 1 000 usados nos cálculos)</t>
        </is>
      </c>
      <c r="I13" s="93" t="inlineStr">
        <is>
          <t>DISTRIBUIÇÃO DE FREQUÊNCIA</t>
        </is>
      </c>
    </row>
    <row r="14">
      <c r="A14" s="18" t="inlineStr">
        <is>
          <t>CENÁRIO #</t>
        </is>
      </c>
      <c r="B14" s="18" t="inlineStr">
        <is>
          <t>RETORNO SIMULADO (%)</t>
        </is>
      </c>
      <c r="C14" s="18" t="inlineStr">
        <is>
          <t>RETORNO ACUMULADO 1d</t>
        </is>
      </c>
      <c r="D14" s="18" t="inlineStr">
        <is>
          <t>P&amp;L SIMULADO (R$)</t>
        </is>
      </c>
      <c r="I14" s="18" t="inlineStr">
        <is>
          <t>BUCKET</t>
        </is>
      </c>
      <c r="J14" s="18" t="inlineStr">
        <is>
          <t>COUNT</t>
        </is>
      </c>
      <c r="K14" s="18" t="inlineStr">
        <is>
          <t>FREQ (%)</t>
        </is>
      </c>
    </row>
    <row r="15" ht="14" customHeight="1">
      <c r="A15" s="94" t="n">
        <v>1</v>
      </c>
      <c r="B15" s="95" t="n">
        <v>-0.00157908</v>
      </c>
      <c r="C15" s="43">
        <f>EXP(B15)-1</f>
        <v/>
      </c>
      <c r="D15" s="57">
        <f>B15*$B$11</f>
        <v/>
      </c>
      <c r="I15" s="60" t="n">
        <v>-0.05</v>
      </c>
      <c r="J15" s="61">
        <f>COUNTIF($B$15:$B$1014,"&lt;="&amp;I15)</f>
        <v/>
      </c>
      <c r="K15" s="44">
        <f>J15/B$8</f>
        <v/>
      </c>
    </row>
    <row r="16" ht="14" customHeight="1">
      <c r="A16" s="96" t="n">
        <v>2</v>
      </c>
      <c r="B16" s="97" t="n">
        <v>-0.00192484</v>
      </c>
      <c r="C16" s="40">
        <f>EXP(B16)-1</f>
        <v/>
      </c>
      <c r="D16" s="59">
        <f>B16*$B$11</f>
        <v/>
      </c>
      <c r="I16" s="60" t="n">
        <v>-0.04</v>
      </c>
      <c r="J16" s="62">
        <f>COUNTIF($B$15:$B$1014,"&lt;="&amp;I16)-COUNTIF($B$15:$B$1014,"&lt;="&amp;I15)</f>
        <v/>
      </c>
      <c r="K16" s="41">
        <f>J16/B$8</f>
        <v/>
      </c>
    </row>
    <row r="17" ht="14" customHeight="1">
      <c r="A17" s="94" t="n">
        <v>3</v>
      </c>
      <c r="B17" s="95" t="n">
        <v>-0.00118579</v>
      </c>
      <c r="C17" s="43">
        <f>EXP(B17)-1</f>
        <v/>
      </c>
      <c r="D17" s="57">
        <f>B17*$B$11</f>
        <v/>
      </c>
      <c r="I17" s="60" t="n">
        <v>-0.03</v>
      </c>
      <c r="J17" s="61">
        <f>COUNTIF($B$15:$B$1014,"&lt;="&amp;I17)-COUNTIF($B$15:$B$1014,"&lt;="&amp;I16)</f>
        <v/>
      </c>
      <c r="K17" s="44">
        <f>J17/B$8</f>
        <v/>
      </c>
    </row>
    <row r="18" ht="14" customHeight="1">
      <c r="A18" s="96" t="n">
        <v>4</v>
      </c>
      <c r="B18" s="97" t="n">
        <v>0.008573799999999999</v>
      </c>
      <c r="C18" s="40">
        <f>EXP(B18)-1</f>
        <v/>
      </c>
      <c r="D18" s="59">
        <f>B18*$B$11</f>
        <v/>
      </c>
      <c r="I18" s="60" t="n">
        <v>-0.025</v>
      </c>
      <c r="J18" s="62">
        <f>COUNTIF($B$15:$B$1014,"&lt;="&amp;I18)-COUNTIF($B$15:$B$1014,"&lt;="&amp;I17)</f>
        <v/>
      </c>
      <c r="K18" s="41">
        <f>J18/B$8</f>
        <v/>
      </c>
    </row>
    <row r="19" ht="14" customHeight="1">
      <c r="A19" s="94" t="n">
        <v>5</v>
      </c>
      <c r="B19" s="95" t="n">
        <v>-0.00138106</v>
      </c>
      <c r="C19" s="43">
        <f>EXP(B19)-1</f>
        <v/>
      </c>
      <c r="D19" s="57">
        <f>B19*$B$11</f>
        <v/>
      </c>
      <c r="I19" s="60" t="n">
        <v>-0.02</v>
      </c>
      <c r="J19" s="61">
        <f>COUNTIF($B$15:$B$1014,"&lt;="&amp;I19)-COUNTIF($B$15:$B$1014,"&lt;="&amp;I18)</f>
        <v/>
      </c>
      <c r="K19" s="44">
        <f>J19/B$8</f>
        <v/>
      </c>
    </row>
    <row r="20" ht="14" customHeight="1">
      <c r="A20" s="96" t="n">
        <v>6</v>
      </c>
      <c r="B20" s="97" t="n">
        <v>-0.01781824</v>
      </c>
      <c r="C20" s="40">
        <f>EXP(B20)-1</f>
        <v/>
      </c>
      <c r="D20" s="59">
        <f>B20*$B$11</f>
        <v/>
      </c>
      <c r="I20" s="60" t="n">
        <v>-0.015</v>
      </c>
      <c r="J20" s="62">
        <f>COUNTIF($B$15:$B$1014,"&lt;="&amp;I20)-COUNTIF($B$15:$B$1014,"&lt;="&amp;I19)</f>
        <v/>
      </c>
      <c r="K20" s="41">
        <f>J20/B$8</f>
        <v/>
      </c>
    </row>
    <row r="21" ht="14" customHeight="1">
      <c r="A21" s="94" t="n">
        <v>7</v>
      </c>
      <c r="B21" s="95" t="n">
        <v>0.00413782</v>
      </c>
      <c r="C21" s="43">
        <f>EXP(B21)-1</f>
        <v/>
      </c>
      <c r="D21" s="57">
        <f>B21*$B$11</f>
        <v/>
      </c>
      <c r="I21" s="60" t="n">
        <v>-0.01</v>
      </c>
      <c r="J21" s="61">
        <f>COUNTIF($B$15:$B$1014,"&lt;="&amp;I21)-COUNTIF($B$15:$B$1014,"&lt;="&amp;I20)</f>
        <v/>
      </c>
      <c r="K21" s="44">
        <f>J21/B$8</f>
        <v/>
      </c>
    </row>
    <row r="22" ht="14" customHeight="1">
      <c r="A22" s="96" t="n">
        <v>8</v>
      </c>
      <c r="B22" s="97" t="n">
        <v>-0.00305805</v>
      </c>
      <c r="C22" s="40">
        <f>EXP(B22)-1</f>
        <v/>
      </c>
      <c r="D22" s="59">
        <f>B22*$B$11</f>
        <v/>
      </c>
      <c r="I22" s="60" t="n">
        <v>-0.005</v>
      </c>
      <c r="J22" s="62">
        <f>COUNTIF($B$15:$B$1014,"&lt;="&amp;I22)-COUNTIF($B$15:$B$1014,"&lt;="&amp;I21)</f>
        <v/>
      </c>
      <c r="K22" s="41">
        <f>J22/B$8</f>
        <v/>
      </c>
    </row>
    <row r="23" ht="14" customHeight="1">
      <c r="A23" s="94" t="n">
        <v>9</v>
      </c>
      <c r="B23" s="95" t="n">
        <v>-0.0024535</v>
      </c>
      <c r="C23" s="43">
        <f>EXP(B23)-1</f>
        <v/>
      </c>
      <c r="D23" s="57">
        <f>B23*$B$11</f>
        <v/>
      </c>
      <c r="I23" s="60" t="n">
        <v>0</v>
      </c>
      <c r="J23" s="61">
        <f>COUNTIF($B$15:$B$1014,"&lt;="&amp;I23)-COUNTIF($B$15:$B$1014,"&lt;="&amp;I22)</f>
        <v/>
      </c>
      <c r="K23" s="44">
        <f>J23/B$8</f>
        <v/>
      </c>
    </row>
    <row r="24" ht="14" customHeight="1">
      <c r="A24" s="96" t="n">
        <v>10</v>
      </c>
      <c r="B24" s="97" t="n">
        <v>0.00154062</v>
      </c>
      <c r="C24" s="40">
        <f>EXP(B24)-1</f>
        <v/>
      </c>
      <c r="D24" s="59">
        <f>B24*$B$11</f>
        <v/>
      </c>
      <c r="I24" s="60" t="n">
        <v>0.005</v>
      </c>
      <c r="J24" s="62">
        <f>COUNTIF($B$15:$B$1014,"&lt;="&amp;I24)-COUNTIF($B$15:$B$1014,"&lt;="&amp;I23)</f>
        <v/>
      </c>
      <c r="K24" s="41">
        <f>J24/B$8</f>
        <v/>
      </c>
    </row>
    <row r="25" ht="14" customHeight="1">
      <c r="A25" s="94" t="n">
        <v>11</v>
      </c>
      <c r="B25" s="95" t="n">
        <v>0.00293757</v>
      </c>
      <c r="C25" s="43">
        <f>EXP(B25)-1</f>
        <v/>
      </c>
      <c r="D25" s="57">
        <f>B25*$B$11</f>
        <v/>
      </c>
      <c r="I25" s="60" t="n">
        <v>0.01</v>
      </c>
      <c r="J25" s="61">
        <f>COUNTIF($B$15:$B$1014,"&lt;="&amp;I25)-COUNTIF($B$15:$B$1014,"&lt;="&amp;I24)</f>
        <v/>
      </c>
      <c r="K25" s="44">
        <f>J25/B$8</f>
        <v/>
      </c>
    </row>
    <row r="26" ht="14" customHeight="1">
      <c r="A26" s="96" t="n">
        <v>12</v>
      </c>
      <c r="B26" s="97" t="n">
        <v>0.0141127</v>
      </c>
      <c r="C26" s="40">
        <f>EXP(B26)-1</f>
        <v/>
      </c>
      <c r="D26" s="59">
        <f>B26*$B$11</f>
        <v/>
      </c>
      <c r="I26" s="60" t="n">
        <v>0.015</v>
      </c>
      <c r="J26" s="62">
        <f>COUNTIF($B$15:$B$1014,"&lt;="&amp;I26)-COUNTIF($B$15:$B$1014,"&lt;="&amp;I25)</f>
        <v/>
      </c>
      <c r="K26" s="41">
        <f>J26/B$8</f>
        <v/>
      </c>
    </row>
    <row r="27" ht="14" customHeight="1">
      <c r="A27" s="94" t="n">
        <v>13</v>
      </c>
      <c r="B27" s="95" t="n">
        <v>0.008029639999999999</v>
      </c>
      <c r="C27" s="43">
        <f>EXP(B27)-1</f>
        <v/>
      </c>
      <c r="D27" s="57">
        <f>B27*$B$11</f>
        <v/>
      </c>
      <c r="I27" s="60" t="n">
        <v>0.02</v>
      </c>
      <c r="J27" s="61">
        <f>COUNTIF($B$15:$B$1014,"&lt;="&amp;I27)-COUNTIF($B$15:$B$1014,"&lt;="&amp;I26)</f>
        <v/>
      </c>
      <c r="K27" s="44">
        <f>J27/B$8</f>
        <v/>
      </c>
    </row>
    <row r="28" ht="14" customHeight="1">
      <c r="A28" s="96" t="n">
        <v>14</v>
      </c>
      <c r="B28" s="97" t="n">
        <v>0.00147609</v>
      </c>
      <c r="C28" s="40">
        <f>EXP(B28)-1</f>
        <v/>
      </c>
      <c r="D28" s="59">
        <f>B28*$B$11</f>
        <v/>
      </c>
      <c r="I28" s="60" t="n">
        <v>0.025</v>
      </c>
      <c r="J28" s="62">
        <f>COUNTIF($B$15:$B$1014,"&lt;="&amp;I28)-COUNTIF($B$15:$B$1014,"&lt;="&amp;I27)</f>
        <v/>
      </c>
      <c r="K28" s="41">
        <f>J28/B$8</f>
        <v/>
      </c>
    </row>
    <row r="29" ht="14" customHeight="1">
      <c r="A29" s="94" t="n">
        <v>15</v>
      </c>
      <c r="B29" s="95" t="n">
        <v>-0.00870986</v>
      </c>
      <c r="C29" s="43">
        <f>EXP(B29)-1</f>
        <v/>
      </c>
      <c r="D29" s="57">
        <f>B29*$B$11</f>
        <v/>
      </c>
      <c r="I29" s="60" t="n">
        <v>0.03</v>
      </c>
      <c r="J29" s="61">
        <f>COUNTIF($B$15:$B$1014,"&lt;="&amp;I29)-COUNTIF($B$15:$B$1014,"&lt;="&amp;I28)</f>
        <v/>
      </c>
      <c r="K29" s="44">
        <f>J29/B$8</f>
        <v/>
      </c>
    </row>
    <row r="30" ht="14" customHeight="1">
      <c r="A30" s="96" t="n">
        <v>16</v>
      </c>
      <c r="B30" s="97" t="n">
        <v>-0.01202595</v>
      </c>
      <c r="C30" s="40">
        <f>EXP(B30)-1</f>
        <v/>
      </c>
      <c r="D30" s="59">
        <f>B30*$B$11</f>
        <v/>
      </c>
      <c r="I30" s="60" t="n">
        <v>0.04</v>
      </c>
      <c r="J30" s="62">
        <f>COUNTIF($B$15:$B$1014,"&lt;="&amp;I30)-COUNTIF($B$15:$B$1014,"&lt;="&amp;I29)</f>
        <v/>
      </c>
      <c r="K30" s="41">
        <f>J30/B$8</f>
        <v/>
      </c>
    </row>
    <row r="31" ht="14" customHeight="1">
      <c r="A31" s="94" t="n">
        <v>17</v>
      </c>
      <c r="B31" s="95" t="n">
        <v>0.00310611</v>
      </c>
      <c r="C31" s="43">
        <f>EXP(B31)-1</f>
        <v/>
      </c>
      <c r="D31" s="57">
        <f>B31*$B$11</f>
        <v/>
      </c>
      <c r="I31" s="60" t="n">
        <v>0.05</v>
      </c>
      <c r="J31" s="61">
        <f>COUNTIF($B$15:$B$1014,"&lt;="&amp;I31)-COUNTIF($B$15:$B$1014,"&lt;="&amp;I30)</f>
        <v/>
      </c>
      <c r="K31" s="44">
        <f>J31/B$8</f>
        <v/>
      </c>
    </row>
    <row r="32" ht="14" customHeight="1">
      <c r="A32" s="96" t="n">
        <v>18</v>
      </c>
      <c r="B32" s="97" t="n">
        <v>0.01588297</v>
      </c>
      <c r="C32" s="40">
        <f>EXP(B32)-1</f>
        <v/>
      </c>
      <c r="D32" s="59">
        <f>B32*$B$11</f>
        <v/>
      </c>
    </row>
    <row r="33" ht="14" customHeight="1">
      <c r="A33" s="94" t="n">
        <v>19</v>
      </c>
      <c r="B33" s="95" t="n">
        <v>0.00064988</v>
      </c>
      <c r="C33" s="43">
        <f>EXP(B33)-1</f>
        <v/>
      </c>
      <c r="D33" s="57">
        <f>B33*$B$11</f>
        <v/>
      </c>
    </row>
    <row r="34" ht="14" customHeight="1">
      <c r="A34" s="96" t="n">
        <v>20</v>
      </c>
      <c r="B34" s="97" t="n">
        <v>-0.00112588</v>
      </c>
      <c r="C34" s="40">
        <f>EXP(B34)-1</f>
        <v/>
      </c>
      <c r="D34" s="59">
        <f>B34*$B$11</f>
        <v/>
      </c>
    </row>
    <row r="35" ht="14" customHeight="1">
      <c r="A35" s="94" t="n">
        <v>21</v>
      </c>
      <c r="B35" s="95" t="n">
        <v>0.00653131</v>
      </c>
      <c r="C35" s="43">
        <f>EXP(B35)-1</f>
        <v/>
      </c>
      <c r="D35" s="57">
        <f>B35*$B$11</f>
        <v/>
      </c>
    </row>
    <row r="36" ht="14" customHeight="1">
      <c r="A36" s="96" t="n">
        <v>22</v>
      </c>
      <c r="B36" s="97" t="n">
        <v>-0.01729254</v>
      </c>
      <c r="C36" s="40">
        <f>EXP(B36)-1</f>
        <v/>
      </c>
      <c r="D36" s="59">
        <f>B36*$B$11</f>
        <v/>
      </c>
    </row>
    <row r="37" ht="14" customHeight="1">
      <c r="A37" s="94" t="n">
        <v>23</v>
      </c>
      <c r="B37" s="95" t="n">
        <v>-0.00359733</v>
      </c>
      <c r="C37" s="43">
        <f>EXP(B37)-1</f>
        <v/>
      </c>
      <c r="D37" s="57">
        <f>B37*$B$11</f>
        <v/>
      </c>
    </row>
    <row r="38" ht="14" customHeight="1">
      <c r="A38" s="96" t="n">
        <v>24</v>
      </c>
      <c r="B38" s="97" t="n">
        <v>0.00603435</v>
      </c>
      <c r="C38" s="40">
        <f>EXP(B38)-1</f>
        <v/>
      </c>
      <c r="D38" s="59">
        <f>B38*$B$11</f>
        <v/>
      </c>
    </row>
    <row r="39" ht="14" customHeight="1">
      <c r="A39" s="94" t="n">
        <v>25</v>
      </c>
      <c r="B39" s="95" t="n">
        <v>0.01063085</v>
      </c>
      <c r="C39" s="43">
        <f>EXP(B39)-1</f>
        <v/>
      </c>
      <c r="D39" s="57">
        <f>B39*$B$11</f>
        <v/>
      </c>
    </row>
    <row r="40" ht="14" customHeight="1">
      <c r="A40" s="96" t="n">
        <v>26</v>
      </c>
      <c r="B40" s="97" t="n">
        <v>-0.00273756</v>
      </c>
      <c r="C40" s="40">
        <f>EXP(B40)-1</f>
        <v/>
      </c>
      <c r="D40" s="59">
        <f>B40*$B$11</f>
        <v/>
      </c>
    </row>
    <row r="41" ht="14" customHeight="1">
      <c r="A41" s="94" t="n">
        <v>27</v>
      </c>
      <c r="B41" s="95" t="n">
        <v>0.0046692</v>
      </c>
      <c r="C41" s="43">
        <f>EXP(B41)-1</f>
        <v/>
      </c>
      <c r="D41" s="57">
        <f>B41*$B$11</f>
        <v/>
      </c>
    </row>
    <row r="42" ht="14" customHeight="1">
      <c r="A42" s="96" t="n">
        <v>28</v>
      </c>
      <c r="B42" s="97" t="n">
        <v>0.00312856</v>
      </c>
      <c r="C42" s="40">
        <f>EXP(B42)-1</f>
        <v/>
      </c>
      <c r="D42" s="59">
        <f>B42*$B$11</f>
        <v/>
      </c>
    </row>
    <row r="43" ht="14" customHeight="1">
      <c r="A43" s="94" t="n">
        <v>29</v>
      </c>
      <c r="B43" s="95" t="n">
        <v>0.00953792</v>
      </c>
      <c r="C43" s="43">
        <f>EXP(B43)-1</f>
        <v/>
      </c>
      <c r="D43" s="57">
        <f>B43*$B$11</f>
        <v/>
      </c>
    </row>
    <row r="44" ht="14" customHeight="1">
      <c r="A44" s="96" t="n">
        <v>30</v>
      </c>
      <c r="B44" s="97" t="n">
        <v>-0.01320867</v>
      </c>
      <c r="C44" s="40">
        <f>EXP(B44)-1</f>
        <v/>
      </c>
      <c r="D44" s="59">
        <f>B44*$B$11</f>
        <v/>
      </c>
    </row>
    <row r="45" ht="14" customHeight="1">
      <c r="A45" s="94" t="n">
        <v>31</v>
      </c>
      <c r="B45" s="95" t="n">
        <v>0.00696901</v>
      </c>
      <c r="C45" s="43">
        <f>EXP(B45)-1</f>
        <v/>
      </c>
      <c r="D45" s="57">
        <f>B45*$B$11</f>
        <v/>
      </c>
    </row>
    <row r="46" ht="14" customHeight="1">
      <c r="A46" s="96" t="n">
        <v>32</v>
      </c>
      <c r="B46" s="97" t="n">
        <v>-0.01802424</v>
      </c>
      <c r="C46" s="40">
        <f>EXP(B46)-1</f>
        <v/>
      </c>
      <c r="D46" s="59">
        <f>B46*$B$11</f>
        <v/>
      </c>
    </row>
    <row r="47" ht="14" customHeight="1">
      <c r="A47" s="94" t="n">
        <v>33</v>
      </c>
      <c r="B47" s="95" t="n">
        <v>-0.03128935</v>
      </c>
      <c r="C47" s="43">
        <f>EXP(B47)-1</f>
        <v/>
      </c>
      <c r="D47" s="57">
        <f>B47*$B$11</f>
        <v/>
      </c>
    </row>
    <row r="48" ht="14" customHeight="1">
      <c r="A48" s="96" t="n">
        <v>34</v>
      </c>
      <c r="B48" s="97" t="n">
        <v>-0.00713269</v>
      </c>
      <c r="C48" s="40">
        <f>EXP(B48)-1</f>
        <v/>
      </c>
      <c r="D48" s="59">
        <f>B48*$B$11</f>
        <v/>
      </c>
    </row>
    <row r="49" ht="14" customHeight="1">
      <c r="A49" s="94" t="n">
        <v>35</v>
      </c>
      <c r="B49" s="95" t="n">
        <v>-0.01083972</v>
      </c>
      <c r="C49" s="43">
        <f>EXP(B49)-1</f>
        <v/>
      </c>
      <c r="D49" s="57">
        <f>B49*$B$11</f>
        <v/>
      </c>
    </row>
    <row r="50" ht="14" customHeight="1">
      <c r="A50" s="96" t="n">
        <v>36</v>
      </c>
      <c r="B50" s="97" t="n">
        <v>0.01066215</v>
      </c>
      <c r="C50" s="40">
        <f>EXP(B50)-1</f>
        <v/>
      </c>
      <c r="D50" s="59">
        <f>B50*$B$11</f>
        <v/>
      </c>
    </row>
    <row r="51" ht="14" customHeight="1">
      <c r="A51" s="94" t="n">
        <v>37</v>
      </c>
      <c r="B51" s="95" t="n">
        <v>0.00812119</v>
      </c>
      <c r="C51" s="43">
        <f>EXP(B51)-1</f>
        <v/>
      </c>
      <c r="D51" s="57">
        <f>B51*$B$11</f>
        <v/>
      </c>
    </row>
    <row r="52" ht="14" customHeight="1">
      <c r="A52" s="96" t="n">
        <v>38</v>
      </c>
      <c r="B52" s="97" t="n">
        <v>-0.0144789</v>
      </c>
      <c r="C52" s="40">
        <f>EXP(B52)-1</f>
        <v/>
      </c>
      <c r="D52" s="59">
        <f>B52*$B$11</f>
        <v/>
      </c>
    </row>
    <row r="53" ht="14" customHeight="1">
      <c r="A53" s="94" t="n">
        <v>39</v>
      </c>
      <c r="B53" s="95" t="n">
        <v>0.01031834</v>
      </c>
      <c r="C53" s="43">
        <f>EXP(B53)-1</f>
        <v/>
      </c>
      <c r="D53" s="57">
        <f>B53*$B$11</f>
        <v/>
      </c>
    </row>
    <row r="54" ht="14" customHeight="1">
      <c r="A54" s="96" t="n">
        <v>40</v>
      </c>
      <c r="B54" s="97" t="n">
        <v>-0.01187643</v>
      </c>
      <c r="C54" s="40">
        <f>EXP(B54)-1</f>
        <v/>
      </c>
      <c r="D54" s="59">
        <f>B54*$B$11</f>
        <v/>
      </c>
    </row>
    <row r="55" ht="14" customHeight="1">
      <c r="A55" s="94" t="n">
        <v>41</v>
      </c>
      <c r="B55" s="95" t="n">
        <v>-0.00088493</v>
      </c>
      <c r="C55" s="43">
        <f>EXP(B55)-1</f>
        <v/>
      </c>
      <c r="D55" s="57">
        <f>B55*$B$11</f>
        <v/>
      </c>
    </row>
    <row r="56" ht="14" customHeight="1">
      <c r="A56" s="96" t="n">
        <v>42</v>
      </c>
      <c r="B56" s="97" t="n">
        <v>-0.0033768</v>
      </c>
      <c r="C56" s="40">
        <f>EXP(B56)-1</f>
        <v/>
      </c>
      <c r="D56" s="59">
        <f>B56*$B$11</f>
        <v/>
      </c>
    </row>
    <row r="57" ht="14" customHeight="1">
      <c r="A57" s="94" t="n">
        <v>43</v>
      </c>
      <c r="B57" s="95" t="n">
        <v>0.00152304</v>
      </c>
      <c r="C57" s="43">
        <f>EXP(B57)-1</f>
        <v/>
      </c>
      <c r="D57" s="57">
        <f>B57*$B$11</f>
        <v/>
      </c>
    </row>
    <row r="58" ht="14" customHeight="1">
      <c r="A58" s="96" t="n">
        <v>44</v>
      </c>
      <c r="B58" s="97" t="n">
        <v>0.009973640000000001</v>
      </c>
      <c r="C58" s="40">
        <f>EXP(B58)-1</f>
        <v/>
      </c>
      <c r="D58" s="59">
        <f>B58*$B$11</f>
        <v/>
      </c>
    </row>
    <row r="59" ht="14" customHeight="1">
      <c r="A59" s="94" t="n">
        <v>45</v>
      </c>
      <c r="B59" s="95" t="n">
        <v>0.00781097</v>
      </c>
      <c r="C59" s="43">
        <f>EXP(B59)-1</f>
        <v/>
      </c>
      <c r="D59" s="57">
        <f>B59*$B$11</f>
        <v/>
      </c>
    </row>
    <row r="60" ht="14" customHeight="1">
      <c r="A60" s="96" t="n">
        <v>46</v>
      </c>
      <c r="B60" s="97" t="n">
        <v>0.00434862</v>
      </c>
      <c r="C60" s="40">
        <f>EXP(B60)-1</f>
        <v/>
      </c>
      <c r="D60" s="59">
        <f>B60*$B$11</f>
        <v/>
      </c>
    </row>
    <row r="61" ht="14" customHeight="1">
      <c r="A61" s="94" t="n">
        <v>47</v>
      </c>
      <c r="B61" s="95" t="n">
        <v>0.007949380000000001</v>
      </c>
      <c r="C61" s="43">
        <f>EXP(B61)-1</f>
        <v/>
      </c>
      <c r="D61" s="57">
        <f>B61*$B$11</f>
        <v/>
      </c>
    </row>
    <row r="62" ht="14" customHeight="1">
      <c r="A62" s="96" t="n">
        <v>48</v>
      </c>
      <c r="B62" s="97" t="n">
        <v>0.0058919</v>
      </c>
      <c r="C62" s="40">
        <f>EXP(B62)-1</f>
        <v/>
      </c>
      <c r="D62" s="59">
        <f>B62*$B$11</f>
        <v/>
      </c>
    </row>
    <row r="63" ht="14" customHeight="1">
      <c r="A63" s="94" t="n">
        <v>49</v>
      </c>
      <c r="B63" s="95" t="n">
        <v>-0.00737383</v>
      </c>
      <c r="C63" s="43">
        <f>EXP(B63)-1</f>
        <v/>
      </c>
      <c r="D63" s="57">
        <f>B63*$B$11</f>
        <v/>
      </c>
    </row>
    <row r="64" ht="14" customHeight="1">
      <c r="A64" s="96" t="n">
        <v>50</v>
      </c>
      <c r="B64" s="97" t="n">
        <v>-0.008458449999999999</v>
      </c>
      <c r="C64" s="40">
        <f>EXP(B64)-1</f>
        <v/>
      </c>
      <c r="D64" s="59">
        <f>B64*$B$11</f>
        <v/>
      </c>
    </row>
    <row r="65" ht="14" customHeight="1">
      <c r="A65" s="94" t="n">
        <v>51</v>
      </c>
      <c r="B65" s="95" t="n">
        <v>-0.00548962</v>
      </c>
      <c r="C65" s="43">
        <f>EXP(B65)-1</f>
        <v/>
      </c>
      <c r="D65" s="57">
        <f>B65*$B$11</f>
        <v/>
      </c>
    </row>
    <row r="66" ht="14" customHeight="1">
      <c r="A66" s="96" t="n">
        <v>52</v>
      </c>
      <c r="B66" s="97" t="n">
        <v>0.00614192</v>
      </c>
      <c r="C66" s="40">
        <f>EXP(B66)-1</f>
        <v/>
      </c>
      <c r="D66" s="59">
        <f>B66*$B$11</f>
        <v/>
      </c>
    </row>
    <row r="67" ht="14" customHeight="1">
      <c r="A67" s="94" t="n">
        <v>53</v>
      </c>
      <c r="B67" s="95" t="n">
        <v>-0.00285139</v>
      </c>
      <c r="C67" s="43">
        <f>EXP(B67)-1</f>
        <v/>
      </c>
      <c r="D67" s="57">
        <f>B67*$B$11</f>
        <v/>
      </c>
    </row>
    <row r="68" ht="14" customHeight="1">
      <c r="A68" s="96" t="n">
        <v>54</v>
      </c>
      <c r="B68" s="97" t="n">
        <v>0.02817905</v>
      </c>
      <c r="C68" s="40">
        <f>EXP(B68)-1</f>
        <v/>
      </c>
      <c r="D68" s="59">
        <f>B68*$B$11</f>
        <v/>
      </c>
    </row>
    <row r="69" ht="14" customHeight="1">
      <c r="A69" s="94" t="n">
        <v>55</v>
      </c>
      <c r="B69" s="95" t="n">
        <v>-0.009681510000000001</v>
      </c>
      <c r="C69" s="43">
        <f>EXP(B69)-1</f>
        <v/>
      </c>
      <c r="D69" s="57">
        <f>B69*$B$11</f>
        <v/>
      </c>
    </row>
    <row r="70" ht="14" customHeight="1">
      <c r="A70" s="96" t="n">
        <v>56</v>
      </c>
      <c r="B70" s="97" t="n">
        <v>-0.0130365</v>
      </c>
      <c r="C70" s="40">
        <f>EXP(B70)-1</f>
        <v/>
      </c>
      <c r="D70" s="59">
        <f>B70*$B$11</f>
        <v/>
      </c>
    </row>
    <row r="71" ht="14" customHeight="1">
      <c r="A71" s="94" t="n">
        <v>57</v>
      </c>
      <c r="B71" s="95" t="n">
        <v>0.00937168</v>
      </c>
      <c r="C71" s="43">
        <f>EXP(B71)-1</f>
        <v/>
      </c>
      <c r="D71" s="57">
        <f>B71*$B$11</f>
        <v/>
      </c>
    </row>
    <row r="72" ht="14" customHeight="1">
      <c r="A72" s="96" t="n">
        <v>58</v>
      </c>
      <c r="B72" s="97" t="n">
        <v>0.0172122</v>
      </c>
      <c r="C72" s="40">
        <f>EXP(B72)-1</f>
        <v/>
      </c>
      <c r="D72" s="59">
        <f>B72*$B$11</f>
        <v/>
      </c>
    </row>
    <row r="73" ht="14" customHeight="1">
      <c r="A73" s="94" t="n">
        <v>59</v>
      </c>
      <c r="B73" s="95" t="n">
        <v>0.00621831</v>
      </c>
      <c r="C73" s="43">
        <f>EXP(B73)-1</f>
        <v/>
      </c>
      <c r="D73" s="57">
        <f>B73*$B$11</f>
        <v/>
      </c>
    </row>
    <row r="74" ht="14" customHeight="1">
      <c r="A74" s="96" t="n">
        <v>60</v>
      </c>
      <c r="B74" s="97" t="n">
        <v>0.01017981</v>
      </c>
      <c r="C74" s="40">
        <f>EXP(B74)-1</f>
        <v/>
      </c>
      <c r="D74" s="59">
        <f>B74*$B$11</f>
        <v/>
      </c>
    </row>
    <row r="75" ht="14" customHeight="1">
      <c r="A75" s="94" t="n">
        <v>61</v>
      </c>
      <c r="B75" s="95" t="n">
        <v>0.01726614</v>
      </c>
      <c r="C75" s="43">
        <f>EXP(B75)-1</f>
        <v/>
      </c>
      <c r="D75" s="57">
        <f>B75*$B$11</f>
        <v/>
      </c>
    </row>
    <row r="76" ht="14" customHeight="1">
      <c r="A76" s="96" t="n">
        <v>62</v>
      </c>
      <c r="B76" s="97" t="n">
        <v>-0.0009783299999999999</v>
      </c>
      <c r="C76" s="40">
        <f>EXP(B76)-1</f>
        <v/>
      </c>
      <c r="D76" s="59">
        <f>B76*$B$11</f>
        <v/>
      </c>
    </row>
    <row r="77" ht="14" customHeight="1">
      <c r="A77" s="94" t="n">
        <v>63</v>
      </c>
      <c r="B77" s="95" t="n">
        <v>-0.01692551</v>
      </c>
      <c r="C77" s="43">
        <f>EXP(B77)-1</f>
        <v/>
      </c>
      <c r="D77" s="57">
        <f>B77*$B$11</f>
        <v/>
      </c>
    </row>
    <row r="78" ht="14" customHeight="1">
      <c r="A78" s="96" t="n">
        <v>64</v>
      </c>
      <c r="B78" s="97" t="n">
        <v>-0.00623492</v>
      </c>
      <c r="C78" s="40">
        <f>EXP(B78)-1</f>
        <v/>
      </c>
      <c r="D78" s="59">
        <f>B78*$B$11</f>
        <v/>
      </c>
    </row>
    <row r="79" ht="14" customHeight="1">
      <c r="A79" s="94" t="n">
        <v>65</v>
      </c>
      <c r="B79" s="95" t="n">
        <v>0.01158475</v>
      </c>
      <c r="C79" s="43">
        <f>EXP(B79)-1</f>
        <v/>
      </c>
      <c r="D79" s="57">
        <f>B79*$B$11</f>
        <v/>
      </c>
    </row>
    <row r="80" ht="14" customHeight="1">
      <c r="A80" s="96" t="n">
        <v>66</v>
      </c>
      <c r="B80" s="97" t="n">
        <v>-0.01717414</v>
      </c>
      <c r="C80" s="40">
        <f>EXP(B80)-1</f>
        <v/>
      </c>
      <c r="D80" s="59">
        <f>B80*$B$11</f>
        <v/>
      </c>
    </row>
    <row r="81" ht="14" customHeight="1">
      <c r="A81" s="94" t="n">
        <v>67</v>
      </c>
      <c r="B81" s="95" t="n">
        <v>0.00055238</v>
      </c>
      <c r="C81" s="43">
        <f>EXP(B81)-1</f>
        <v/>
      </c>
      <c r="D81" s="57">
        <f>B81*$B$11</f>
        <v/>
      </c>
    </row>
    <row r="82" ht="14" customHeight="1">
      <c r="A82" s="96" t="n">
        <v>68</v>
      </c>
      <c r="B82" s="97" t="n">
        <v>0.00318885</v>
      </c>
      <c r="C82" s="40">
        <f>EXP(B82)-1</f>
        <v/>
      </c>
      <c r="D82" s="59">
        <f>B82*$B$11</f>
        <v/>
      </c>
    </row>
    <row r="83" ht="14" customHeight="1">
      <c r="A83" s="94" t="n">
        <v>69</v>
      </c>
      <c r="B83" s="95" t="n">
        <v>-0.00363711</v>
      </c>
      <c r="C83" s="43">
        <f>EXP(B83)-1</f>
        <v/>
      </c>
      <c r="D83" s="57">
        <f>B83*$B$11</f>
        <v/>
      </c>
    </row>
    <row r="84" ht="14" customHeight="1">
      <c r="A84" s="96" t="n">
        <v>70</v>
      </c>
      <c r="B84" s="97" t="n">
        <v>0.008833580000000001</v>
      </c>
      <c r="C84" s="40">
        <f>EXP(B84)-1</f>
        <v/>
      </c>
      <c r="D84" s="59">
        <f>B84*$B$11</f>
        <v/>
      </c>
    </row>
    <row r="85" ht="14" customHeight="1">
      <c r="A85" s="94" t="n">
        <v>71</v>
      </c>
      <c r="B85" s="95" t="n">
        <v>0.00711936</v>
      </c>
      <c r="C85" s="43">
        <f>EXP(B85)-1</f>
        <v/>
      </c>
      <c r="D85" s="57">
        <f>B85*$B$11</f>
        <v/>
      </c>
    </row>
    <row r="86" ht="14" customHeight="1">
      <c r="A86" s="96" t="n">
        <v>72</v>
      </c>
      <c r="B86" s="97" t="n">
        <v>0.0280069</v>
      </c>
      <c r="C86" s="40">
        <f>EXP(B86)-1</f>
        <v/>
      </c>
      <c r="D86" s="59">
        <f>B86*$B$11</f>
        <v/>
      </c>
    </row>
    <row r="87" ht="14" customHeight="1">
      <c r="A87" s="94" t="n">
        <v>73</v>
      </c>
      <c r="B87" s="95" t="n">
        <v>0.00758961</v>
      </c>
      <c r="C87" s="43">
        <f>EXP(B87)-1</f>
        <v/>
      </c>
      <c r="D87" s="57">
        <f>B87*$B$11</f>
        <v/>
      </c>
    </row>
    <row r="88" ht="14" customHeight="1">
      <c r="A88" s="96" t="n">
        <v>74</v>
      </c>
      <c r="B88" s="97" t="n">
        <v>-0.00716284</v>
      </c>
      <c r="C88" s="40">
        <f>EXP(B88)-1</f>
        <v/>
      </c>
      <c r="D88" s="59">
        <f>B88*$B$11</f>
        <v/>
      </c>
    </row>
    <row r="89" ht="14" customHeight="1">
      <c r="A89" s="94" t="n">
        <v>75</v>
      </c>
      <c r="B89" s="95" t="n">
        <v>-0.00659157</v>
      </c>
      <c r="C89" s="43">
        <f>EXP(B89)-1</f>
        <v/>
      </c>
      <c r="D89" s="57">
        <f>B89*$B$11</f>
        <v/>
      </c>
    </row>
    <row r="90" ht="14" customHeight="1">
      <c r="A90" s="96" t="n">
        <v>76</v>
      </c>
      <c r="B90" s="97" t="n">
        <v>-0.009828969999999999</v>
      </c>
      <c r="C90" s="40">
        <f>EXP(B90)-1</f>
        <v/>
      </c>
      <c r="D90" s="59">
        <f>B90*$B$11</f>
        <v/>
      </c>
    </row>
    <row r="91" ht="14" customHeight="1">
      <c r="A91" s="94" t="n">
        <v>77</v>
      </c>
      <c r="B91" s="95" t="n">
        <v>0.01157728</v>
      </c>
      <c r="C91" s="43">
        <f>EXP(B91)-1</f>
        <v/>
      </c>
      <c r="D91" s="57">
        <f>B91*$B$11</f>
        <v/>
      </c>
    </row>
    <row r="92" ht="14" customHeight="1">
      <c r="A92" s="96" t="n">
        <v>78</v>
      </c>
      <c r="B92" s="97" t="n">
        <v>-0.00665199</v>
      </c>
      <c r="C92" s="40">
        <f>EXP(B92)-1</f>
        <v/>
      </c>
      <c r="D92" s="59">
        <f>B92*$B$11</f>
        <v/>
      </c>
    </row>
    <row r="93" ht="14" customHeight="1">
      <c r="A93" s="94" t="n">
        <v>79</v>
      </c>
      <c r="B93" s="95" t="n">
        <v>-0.00069313</v>
      </c>
      <c r="C93" s="43">
        <f>EXP(B93)-1</f>
        <v/>
      </c>
      <c r="D93" s="57">
        <f>B93*$B$11</f>
        <v/>
      </c>
    </row>
    <row r="94" ht="14" customHeight="1">
      <c r="A94" s="96" t="n">
        <v>80</v>
      </c>
      <c r="B94" s="97" t="n">
        <v>0.00914163</v>
      </c>
      <c r="C94" s="40">
        <f>EXP(B94)-1</f>
        <v/>
      </c>
      <c r="D94" s="59">
        <f>B94*$B$11</f>
        <v/>
      </c>
    </row>
    <row r="95" ht="14" customHeight="1">
      <c r="A95" s="94" t="n">
        <v>81</v>
      </c>
      <c r="B95" s="95" t="n">
        <v>-0.008531560000000001</v>
      </c>
      <c r="C95" s="43">
        <f>EXP(B95)-1</f>
        <v/>
      </c>
      <c r="D95" s="57">
        <f>B95*$B$11</f>
        <v/>
      </c>
    </row>
    <row r="96" ht="14" customHeight="1">
      <c r="A96" s="96" t="n">
        <v>82</v>
      </c>
      <c r="B96" s="97" t="n">
        <v>-0.0033739</v>
      </c>
      <c r="C96" s="40">
        <f>EXP(B96)-1</f>
        <v/>
      </c>
      <c r="D96" s="59">
        <f>B96*$B$11</f>
        <v/>
      </c>
    </row>
    <row r="97" ht="14" customHeight="1">
      <c r="A97" s="94" t="n">
        <v>83</v>
      </c>
      <c r="B97" s="95" t="n">
        <v>-0.02194544</v>
      </c>
      <c r="C97" s="43">
        <f>EXP(B97)-1</f>
        <v/>
      </c>
      <c r="D97" s="57">
        <f>B97*$B$11</f>
        <v/>
      </c>
    </row>
    <row r="98" ht="14" customHeight="1">
      <c r="A98" s="96" t="n">
        <v>84</v>
      </c>
      <c r="B98" s="97" t="n">
        <v>-0.01283974</v>
      </c>
      <c r="C98" s="40">
        <f>EXP(B98)-1</f>
        <v/>
      </c>
      <c r="D98" s="59">
        <f>B98*$B$11</f>
        <v/>
      </c>
    </row>
    <row r="99" ht="14" customHeight="1">
      <c r="A99" s="94" t="n">
        <v>85</v>
      </c>
      <c r="B99" s="95" t="n">
        <v>-0.00666284</v>
      </c>
      <c r="C99" s="43">
        <f>EXP(B99)-1</f>
        <v/>
      </c>
      <c r="D99" s="57">
        <f>B99*$B$11</f>
        <v/>
      </c>
    </row>
    <row r="100" ht="14" customHeight="1">
      <c r="A100" s="96" t="n">
        <v>86</v>
      </c>
      <c r="B100" s="97" t="n">
        <v>0.00513913</v>
      </c>
      <c r="C100" s="40">
        <f>EXP(B100)-1</f>
        <v/>
      </c>
      <c r="D100" s="59">
        <f>B100*$B$11</f>
        <v/>
      </c>
    </row>
    <row r="101" ht="14" customHeight="1">
      <c r="A101" s="94" t="n">
        <v>87</v>
      </c>
      <c r="B101" s="95" t="n">
        <v>0.01447192</v>
      </c>
      <c r="C101" s="43">
        <f>EXP(B101)-1</f>
        <v/>
      </c>
      <c r="D101" s="57">
        <f>B101*$B$11</f>
        <v/>
      </c>
    </row>
    <row r="102" ht="14" customHeight="1">
      <c r="A102" s="96" t="n">
        <v>88</v>
      </c>
      <c r="B102" s="97" t="n">
        <v>-7.160000000000001e-05</v>
      </c>
      <c r="C102" s="40">
        <f>EXP(B102)-1</f>
        <v/>
      </c>
      <c r="D102" s="59">
        <f>B102*$B$11</f>
        <v/>
      </c>
    </row>
    <row r="103" ht="14" customHeight="1">
      <c r="A103" s="94" t="n">
        <v>89</v>
      </c>
      <c r="B103" s="95" t="n">
        <v>0.00328637</v>
      </c>
      <c r="C103" s="43">
        <f>EXP(B103)-1</f>
        <v/>
      </c>
      <c r="D103" s="57">
        <f>B103*$B$11</f>
        <v/>
      </c>
    </row>
    <row r="104" ht="14" customHeight="1">
      <c r="A104" s="96" t="n">
        <v>90</v>
      </c>
      <c r="B104" s="97" t="n">
        <v>0.00216563</v>
      </c>
      <c r="C104" s="40">
        <f>EXP(B104)-1</f>
        <v/>
      </c>
      <c r="D104" s="59">
        <f>B104*$B$11</f>
        <v/>
      </c>
    </row>
    <row r="105" ht="14" customHeight="1">
      <c r="A105" s="94" t="n">
        <v>91</v>
      </c>
      <c r="B105" s="95" t="n">
        <v>0.01316689</v>
      </c>
      <c r="C105" s="43">
        <f>EXP(B105)-1</f>
        <v/>
      </c>
      <c r="D105" s="57">
        <f>B105*$B$11</f>
        <v/>
      </c>
    </row>
    <row r="106" ht="14" customHeight="1">
      <c r="A106" s="96" t="n">
        <v>92</v>
      </c>
      <c r="B106" s="97" t="n">
        <v>0.01087026</v>
      </c>
      <c r="C106" s="40">
        <f>EXP(B106)-1</f>
        <v/>
      </c>
      <c r="D106" s="59">
        <f>B106*$B$11</f>
        <v/>
      </c>
    </row>
    <row r="107" ht="14" customHeight="1">
      <c r="A107" s="94" t="n">
        <v>93</v>
      </c>
      <c r="B107" s="95" t="n">
        <v>0.00343432</v>
      </c>
      <c r="C107" s="43">
        <f>EXP(B107)-1</f>
        <v/>
      </c>
      <c r="D107" s="57">
        <f>B107*$B$11</f>
        <v/>
      </c>
    </row>
    <row r="108" ht="14" customHeight="1">
      <c r="A108" s="96" t="n">
        <v>94</v>
      </c>
      <c r="B108" s="97" t="n">
        <v>-0.01198133</v>
      </c>
      <c r="C108" s="40">
        <f>EXP(B108)-1</f>
        <v/>
      </c>
      <c r="D108" s="59">
        <f>B108*$B$11</f>
        <v/>
      </c>
    </row>
    <row r="109" ht="14" customHeight="1">
      <c r="A109" s="94" t="n">
        <v>95</v>
      </c>
      <c r="B109" s="95" t="n">
        <v>0.01099062</v>
      </c>
      <c r="C109" s="43">
        <f>EXP(B109)-1</f>
        <v/>
      </c>
      <c r="D109" s="57">
        <f>B109*$B$11</f>
        <v/>
      </c>
    </row>
    <row r="110" ht="14" customHeight="1">
      <c r="A110" s="96" t="n">
        <v>96</v>
      </c>
      <c r="B110" s="97" t="n">
        <v>0.00472257</v>
      </c>
      <c r="C110" s="40">
        <f>EXP(B110)-1</f>
        <v/>
      </c>
      <c r="D110" s="59">
        <f>B110*$B$11</f>
        <v/>
      </c>
    </row>
    <row r="111" ht="14" customHeight="1">
      <c r="A111" s="94" t="n">
        <v>97</v>
      </c>
      <c r="B111" s="95" t="n">
        <v>0.0148733</v>
      </c>
      <c r="C111" s="43">
        <f>EXP(B111)-1</f>
        <v/>
      </c>
      <c r="D111" s="57">
        <f>B111*$B$11</f>
        <v/>
      </c>
    </row>
    <row r="112" ht="14" customHeight="1">
      <c r="A112" s="96" t="n">
        <v>98</v>
      </c>
      <c r="B112" s="97" t="n">
        <v>-0.00020888</v>
      </c>
      <c r="C112" s="40">
        <f>EXP(B112)-1</f>
        <v/>
      </c>
      <c r="D112" s="59">
        <f>B112*$B$11</f>
        <v/>
      </c>
    </row>
    <row r="113" ht="14" customHeight="1">
      <c r="A113" s="94" t="n">
        <v>99</v>
      </c>
      <c r="B113" s="95" t="n">
        <v>0.02358721</v>
      </c>
      <c r="C113" s="43">
        <f>EXP(B113)-1</f>
        <v/>
      </c>
      <c r="D113" s="57">
        <f>B113*$B$11</f>
        <v/>
      </c>
    </row>
    <row r="114" ht="14" customHeight="1">
      <c r="A114" s="96" t="n">
        <v>100</v>
      </c>
      <c r="B114" s="97" t="n">
        <v>-0.00415652</v>
      </c>
      <c r="C114" s="40">
        <f>EXP(B114)-1</f>
        <v/>
      </c>
      <c r="D114" s="59">
        <f>B114*$B$11</f>
        <v/>
      </c>
    </row>
    <row r="115" ht="14" customHeight="1">
      <c r="A115" s="94" t="n">
        <v>101</v>
      </c>
      <c r="B115" s="95" t="n">
        <v>0.01926672</v>
      </c>
      <c r="C115" s="43">
        <f>EXP(B115)-1</f>
        <v/>
      </c>
      <c r="D115" s="57">
        <f>B115*$B$11</f>
        <v/>
      </c>
    </row>
    <row r="116" ht="14" customHeight="1">
      <c r="A116" s="96" t="n">
        <v>102</v>
      </c>
      <c r="B116" s="97" t="n">
        <v>0.00153143</v>
      </c>
      <c r="C116" s="40">
        <f>EXP(B116)-1</f>
        <v/>
      </c>
      <c r="D116" s="59">
        <f>B116*$B$11</f>
        <v/>
      </c>
    </row>
    <row r="117" ht="14" customHeight="1">
      <c r="A117" s="94" t="n">
        <v>103</v>
      </c>
      <c r="B117" s="95" t="n">
        <v>-0.00604523</v>
      </c>
      <c r="C117" s="43">
        <f>EXP(B117)-1</f>
        <v/>
      </c>
      <c r="D117" s="57">
        <f>B117*$B$11</f>
        <v/>
      </c>
    </row>
    <row r="118" ht="14" customHeight="1">
      <c r="A118" s="96" t="n">
        <v>104</v>
      </c>
      <c r="B118" s="97" t="n">
        <v>-0.01339137</v>
      </c>
      <c r="C118" s="40">
        <f>EXP(B118)-1</f>
        <v/>
      </c>
      <c r="D118" s="59">
        <f>B118*$B$11</f>
        <v/>
      </c>
    </row>
    <row r="119" ht="14" customHeight="1">
      <c r="A119" s="94" t="n">
        <v>105</v>
      </c>
      <c r="B119" s="95" t="n">
        <v>-0.00166237</v>
      </c>
      <c r="C119" s="43">
        <f>EXP(B119)-1</f>
        <v/>
      </c>
      <c r="D119" s="57">
        <f>B119*$B$11</f>
        <v/>
      </c>
    </row>
    <row r="120" ht="14" customHeight="1">
      <c r="A120" s="96" t="n">
        <v>106</v>
      </c>
      <c r="B120" s="97" t="n">
        <v>0.01722985</v>
      </c>
      <c r="C120" s="40">
        <f>EXP(B120)-1</f>
        <v/>
      </c>
      <c r="D120" s="59">
        <f>B120*$B$11</f>
        <v/>
      </c>
    </row>
    <row r="121" ht="14" customHeight="1">
      <c r="A121" s="94" t="n">
        <v>107</v>
      </c>
      <c r="B121" s="95" t="n">
        <v>0.009946490000000001</v>
      </c>
      <c r="C121" s="43">
        <f>EXP(B121)-1</f>
        <v/>
      </c>
      <c r="D121" s="57">
        <f>B121*$B$11</f>
        <v/>
      </c>
    </row>
    <row r="122" ht="14" customHeight="1">
      <c r="A122" s="96" t="n">
        <v>108</v>
      </c>
      <c r="B122" s="97" t="n">
        <v>0.00841661</v>
      </c>
      <c r="C122" s="40">
        <f>EXP(B122)-1</f>
        <v/>
      </c>
      <c r="D122" s="59">
        <f>B122*$B$11</f>
        <v/>
      </c>
    </row>
    <row r="123" ht="14" customHeight="1">
      <c r="A123" s="94" t="n">
        <v>109</v>
      </c>
      <c r="B123" s="95" t="n">
        <v>-0.02836047</v>
      </c>
      <c r="C123" s="43">
        <f>EXP(B123)-1</f>
        <v/>
      </c>
      <c r="D123" s="57">
        <f>B123*$B$11</f>
        <v/>
      </c>
    </row>
    <row r="124" ht="14" customHeight="1">
      <c r="A124" s="96" t="n">
        <v>110</v>
      </c>
      <c r="B124" s="97" t="n">
        <v>0.00868157</v>
      </c>
      <c r="C124" s="40">
        <f>EXP(B124)-1</f>
        <v/>
      </c>
      <c r="D124" s="59">
        <f>B124*$B$11</f>
        <v/>
      </c>
    </row>
    <row r="125" ht="14" customHeight="1">
      <c r="A125" s="94" t="n">
        <v>111</v>
      </c>
      <c r="B125" s="95" t="n">
        <v>0.00682023</v>
      </c>
      <c r="C125" s="43">
        <f>EXP(B125)-1</f>
        <v/>
      </c>
      <c r="D125" s="57">
        <f>B125*$B$11</f>
        <v/>
      </c>
    </row>
    <row r="126" ht="14" customHeight="1">
      <c r="A126" s="96" t="n">
        <v>112</v>
      </c>
      <c r="B126" s="97" t="n">
        <v>-0.00644912</v>
      </c>
      <c r="C126" s="40">
        <f>EXP(B126)-1</f>
        <v/>
      </c>
      <c r="D126" s="59">
        <f>B126*$B$11</f>
        <v/>
      </c>
    </row>
    <row r="127" ht="14" customHeight="1">
      <c r="A127" s="94" t="n">
        <v>113</v>
      </c>
      <c r="B127" s="95" t="n">
        <v>-0.00737861</v>
      </c>
      <c r="C127" s="43">
        <f>EXP(B127)-1</f>
        <v/>
      </c>
      <c r="D127" s="57">
        <f>B127*$B$11</f>
        <v/>
      </c>
    </row>
    <row r="128" ht="14" customHeight="1">
      <c r="A128" s="96" t="n">
        <v>114</v>
      </c>
      <c r="B128" s="97" t="n">
        <v>0.00012227</v>
      </c>
      <c r="C128" s="40">
        <f>EXP(B128)-1</f>
        <v/>
      </c>
      <c r="D128" s="59">
        <f>B128*$B$11</f>
        <v/>
      </c>
    </row>
    <row r="129" ht="14" customHeight="1">
      <c r="A129" s="94" t="n">
        <v>115</v>
      </c>
      <c r="B129" s="95" t="n">
        <v>0.02084852</v>
      </c>
      <c r="C129" s="43">
        <f>EXP(B129)-1</f>
        <v/>
      </c>
      <c r="D129" s="57">
        <f>B129*$B$11</f>
        <v/>
      </c>
    </row>
    <row r="130" ht="14" customHeight="1">
      <c r="A130" s="96" t="n">
        <v>116</v>
      </c>
      <c r="B130" s="97" t="n">
        <v>-0.01251121</v>
      </c>
      <c r="C130" s="40">
        <f>EXP(B130)-1</f>
        <v/>
      </c>
      <c r="D130" s="59">
        <f>B130*$B$11</f>
        <v/>
      </c>
    </row>
    <row r="131" ht="14" customHeight="1">
      <c r="A131" s="94" t="n">
        <v>117</v>
      </c>
      <c r="B131" s="95" t="n">
        <v>-0.00498366</v>
      </c>
      <c r="C131" s="43">
        <f>EXP(B131)-1</f>
        <v/>
      </c>
      <c r="D131" s="57">
        <f>B131*$B$11</f>
        <v/>
      </c>
    </row>
    <row r="132" ht="14" customHeight="1">
      <c r="A132" s="96" t="n">
        <v>118</v>
      </c>
      <c r="B132" s="97" t="n">
        <v>0.01649142</v>
      </c>
      <c r="C132" s="40">
        <f>EXP(B132)-1</f>
        <v/>
      </c>
      <c r="D132" s="59">
        <f>B132*$B$11</f>
        <v/>
      </c>
    </row>
    <row r="133" ht="14" customHeight="1">
      <c r="A133" s="94" t="n">
        <v>119</v>
      </c>
      <c r="B133" s="95" t="n">
        <v>-0.00520381</v>
      </c>
      <c r="C133" s="43">
        <f>EXP(B133)-1</f>
        <v/>
      </c>
      <c r="D133" s="57">
        <f>B133*$B$11</f>
        <v/>
      </c>
    </row>
    <row r="134" ht="14" customHeight="1">
      <c r="A134" s="96" t="n">
        <v>120</v>
      </c>
      <c r="B134" s="97" t="n">
        <v>-0.00422102</v>
      </c>
      <c r="C134" s="40">
        <f>EXP(B134)-1</f>
        <v/>
      </c>
      <c r="D134" s="59">
        <f>B134*$B$11</f>
        <v/>
      </c>
    </row>
    <row r="135" ht="14" customHeight="1">
      <c r="A135" s="94" t="n">
        <v>121</v>
      </c>
      <c r="B135" s="95" t="n">
        <v>0.00132332</v>
      </c>
      <c r="C135" s="43">
        <f>EXP(B135)-1</f>
        <v/>
      </c>
      <c r="D135" s="57">
        <f>B135*$B$11</f>
        <v/>
      </c>
    </row>
    <row r="136" ht="14" customHeight="1">
      <c r="A136" s="96" t="n">
        <v>122</v>
      </c>
      <c r="B136" s="97" t="n">
        <v>-0.01474547</v>
      </c>
      <c r="C136" s="40">
        <f>EXP(B136)-1</f>
        <v/>
      </c>
      <c r="D136" s="59">
        <f>B136*$B$11</f>
        <v/>
      </c>
    </row>
    <row r="137" ht="14" customHeight="1">
      <c r="A137" s="94" t="n">
        <v>123</v>
      </c>
      <c r="B137" s="95" t="n">
        <v>0.00278935</v>
      </c>
      <c r="C137" s="43">
        <f>EXP(B137)-1</f>
        <v/>
      </c>
      <c r="D137" s="57">
        <f>B137*$B$11</f>
        <v/>
      </c>
    </row>
    <row r="138" ht="14" customHeight="1">
      <c r="A138" s="96" t="n">
        <v>124</v>
      </c>
      <c r="B138" s="97" t="n">
        <v>-0.01436541</v>
      </c>
      <c r="C138" s="40">
        <f>EXP(B138)-1</f>
        <v/>
      </c>
      <c r="D138" s="59">
        <f>B138*$B$11</f>
        <v/>
      </c>
    </row>
    <row r="139" ht="14" customHeight="1">
      <c r="A139" s="94" t="n">
        <v>125</v>
      </c>
      <c r="B139" s="95" t="n">
        <v>0.01077238</v>
      </c>
      <c r="C139" s="43">
        <f>EXP(B139)-1</f>
        <v/>
      </c>
      <c r="D139" s="57">
        <f>B139*$B$11</f>
        <v/>
      </c>
    </row>
    <row r="140" ht="14" customHeight="1">
      <c r="A140" s="96" t="n">
        <v>126</v>
      </c>
      <c r="B140" s="97" t="n">
        <v>0.00018817</v>
      </c>
      <c r="C140" s="40">
        <f>EXP(B140)-1</f>
        <v/>
      </c>
      <c r="D140" s="59">
        <f>B140*$B$11</f>
        <v/>
      </c>
    </row>
    <row r="141" ht="14" customHeight="1">
      <c r="A141" s="94" t="n">
        <v>127</v>
      </c>
      <c r="B141" s="95" t="n">
        <v>0.02755118</v>
      </c>
      <c r="C141" s="43">
        <f>EXP(B141)-1</f>
        <v/>
      </c>
      <c r="D141" s="57">
        <f>B141*$B$11</f>
        <v/>
      </c>
    </row>
    <row r="142" ht="14" customHeight="1">
      <c r="A142" s="96" t="n">
        <v>128</v>
      </c>
      <c r="B142" s="97" t="n">
        <v>0.00352009</v>
      </c>
      <c r="C142" s="40">
        <f>EXP(B142)-1</f>
        <v/>
      </c>
      <c r="D142" s="59">
        <f>B142*$B$11</f>
        <v/>
      </c>
    </row>
    <row r="143" ht="14" customHeight="1">
      <c r="A143" s="94" t="n">
        <v>129</v>
      </c>
      <c r="B143" s="95" t="n">
        <v>0.01653827</v>
      </c>
      <c r="C143" s="43">
        <f>EXP(B143)-1</f>
        <v/>
      </c>
      <c r="D143" s="57">
        <f>B143*$B$11</f>
        <v/>
      </c>
    </row>
    <row r="144" ht="14" customHeight="1">
      <c r="A144" s="96" t="n">
        <v>130</v>
      </c>
      <c r="B144" s="97" t="n">
        <v>-0.01548917</v>
      </c>
      <c r="C144" s="40">
        <f>EXP(B144)-1</f>
        <v/>
      </c>
      <c r="D144" s="59">
        <f>B144*$B$11</f>
        <v/>
      </c>
    </row>
    <row r="145" ht="14" customHeight="1">
      <c r="A145" s="94" t="n">
        <v>131</v>
      </c>
      <c r="B145" s="95" t="n">
        <v>-0.00131567</v>
      </c>
      <c r="C145" s="43">
        <f>EXP(B145)-1</f>
        <v/>
      </c>
      <c r="D145" s="57">
        <f>B145*$B$11</f>
        <v/>
      </c>
    </row>
    <row r="146" ht="14" customHeight="1">
      <c r="A146" s="96" t="n">
        <v>132</v>
      </c>
      <c r="B146" s="97" t="n">
        <v>0.00402775</v>
      </c>
      <c r="C146" s="40">
        <f>EXP(B146)-1</f>
        <v/>
      </c>
      <c r="D146" s="59">
        <f>B146*$B$11</f>
        <v/>
      </c>
    </row>
    <row r="147" ht="14" customHeight="1">
      <c r="A147" s="94" t="n">
        <v>133</v>
      </c>
      <c r="B147" s="95" t="n">
        <v>0.02109865</v>
      </c>
      <c r="C147" s="43">
        <f>EXP(B147)-1</f>
        <v/>
      </c>
      <c r="D147" s="57">
        <f>B147*$B$11</f>
        <v/>
      </c>
    </row>
    <row r="148" ht="14" customHeight="1">
      <c r="A148" s="96" t="n">
        <v>134</v>
      </c>
      <c r="B148" s="97" t="n">
        <v>-0.02002099</v>
      </c>
      <c r="C148" s="40">
        <f>EXP(B148)-1</f>
        <v/>
      </c>
      <c r="D148" s="59">
        <f>B148*$B$11</f>
        <v/>
      </c>
    </row>
    <row r="149" ht="14" customHeight="1">
      <c r="A149" s="94" t="n">
        <v>135</v>
      </c>
      <c r="B149" s="95" t="n">
        <v>0.01203744</v>
      </c>
      <c r="C149" s="43">
        <f>EXP(B149)-1</f>
        <v/>
      </c>
      <c r="D149" s="57">
        <f>B149*$B$11</f>
        <v/>
      </c>
    </row>
    <row r="150" ht="14" customHeight="1">
      <c r="A150" s="96" t="n">
        <v>136</v>
      </c>
      <c r="B150" s="97" t="n">
        <v>0.00724625</v>
      </c>
      <c r="C150" s="40">
        <f>EXP(B150)-1</f>
        <v/>
      </c>
      <c r="D150" s="59">
        <f>B150*$B$11</f>
        <v/>
      </c>
    </row>
    <row r="151" ht="14" customHeight="1">
      <c r="A151" s="94" t="n">
        <v>137</v>
      </c>
      <c r="B151" s="95" t="n">
        <v>0.01855255</v>
      </c>
      <c r="C151" s="43">
        <f>EXP(B151)-1</f>
        <v/>
      </c>
      <c r="D151" s="57">
        <f>B151*$B$11</f>
        <v/>
      </c>
    </row>
    <row r="152" ht="14" customHeight="1">
      <c r="A152" s="96" t="n">
        <v>138</v>
      </c>
      <c r="B152" s="97" t="n">
        <v>0.008698630000000001</v>
      </c>
      <c r="C152" s="40">
        <f>EXP(B152)-1</f>
        <v/>
      </c>
      <c r="D152" s="59">
        <f>B152*$B$11</f>
        <v/>
      </c>
    </row>
    <row r="153" ht="14" customHeight="1">
      <c r="A153" s="94" t="n">
        <v>139</v>
      </c>
      <c r="B153" s="95" t="n">
        <v>0.00077485</v>
      </c>
      <c r="C153" s="43">
        <f>EXP(B153)-1</f>
        <v/>
      </c>
      <c r="D153" s="57">
        <f>B153*$B$11</f>
        <v/>
      </c>
    </row>
    <row r="154" ht="14" customHeight="1">
      <c r="A154" s="96" t="n">
        <v>140</v>
      </c>
      <c r="B154" s="97" t="n">
        <v>-0.0061098</v>
      </c>
      <c r="C154" s="40">
        <f>EXP(B154)-1</f>
        <v/>
      </c>
      <c r="D154" s="59">
        <f>B154*$B$11</f>
        <v/>
      </c>
    </row>
    <row r="155" ht="14" customHeight="1">
      <c r="A155" s="94" t="n">
        <v>141</v>
      </c>
      <c r="B155" s="95" t="n">
        <v>-0.01482816</v>
      </c>
      <c r="C155" s="43">
        <f>EXP(B155)-1</f>
        <v/>
      </c>
      <c r="D155" s="57">
        <f>B155*$B$11</f>
        <v/>
      </c>
    </row>
    <row r="156" ht="14" customHeight="1">
      <c r="A156" s="96" t="n">
        <v>142</v>
      </c>
      <c r="B156" s="97" t="n">
        <v>0.00249507</v>
      </c>
      <c r="C156" s="40">
        <f>EXP(B156)-1</f>
        <v/>
      </c>
      <c r="D156" s="59">
        <f>B156*$B$11</f>
        <v/>
      </c>
    </row>
    <row r="157" ht="14" customHeight="1">
      <c r="A157" s="94" t="n">
        <v>143</v>
      </c>
      <c r="B157" s="95" t="n">
        <v>-0.00215036</v>
      </c>
      <c r="C157" s="43">
        <f>EXP(B157)-1</f>
        <v/>
      </c>
      <c r="D157" s="57">
        <f>B157*$B$11</f>
        <v/>
      </c>
    </row>
    <row r="158" ht="14" customHeight="1">
      <c r="A158" s="96" t="n">
        <v>144</v>
      </c>
      <c r="B158" s="97" t="n">
        <v>0.02439321</v>
      </c>
      <c r="C158" s="40">
        <f>EXP(B158)-1</f>
        <v/>
      </c>
      <c r="D158" s="59">
        <f>B158*$B$11</f>
        <v/>
      </c>
    </row>
    <row r="159" ht="14" customHeight="1">
      <c r="A159" s="94" t="n">
        <v>145</v>
      </c>
      <c r="B159" s="95" t="n">
        <v>-0.0071823</v>
      </c>
      <c r="C159" s="43">
        <f>EXP(B159)-1</f>
        <v/>
      </c>
      <c r="D159" s="57">
        <f>B159*$B$11</f>
        <v/>
      </c>
    </row>
    <row r="160" ht="14" customHeight="1">
      <c r="A160" s="96" t="n">
        <v>146</v>
      </c>
      <c r="B160" s="97" t="n">
        <v>0.0039947</v>
      </c>
      <c r="C160" s="40">
        <f>EXP(B160)-1</f>
        <v/>
      </c>
      <c r="D160" s="59">
        <f>B160*$B$11</f>
        <v/>
      </c>
    </row>
    <row r="161" ht="14" customHeight="1">
      <c r="A161" s="94" t="n">
        <v>147</v>
      </c>
      <c r="B161" s="95" t="n">
        <v>-0.01867802</v>
      </c>
      <c r="C161" s="43">
        <f>EXP(B161)-1</f>
        <v/>
      </c>
      <c r="D161" s="57">
        <f>B161*$B$11</f>
        <v/>
      </c>
    </row>
    <row r="162" ht="14" customHeight="1">
      <c r="A162" s="96" t="n">
        <v>148</v>
      </c>
      <c r="B162" s="97" t="n">
        <v>-0.00459555</v>
      </c>
      <c r="C162" s="40">
        <f>EXP(B162)-1</f>
        <v/>
      </c>
      <c r="D162" s="59">
        <f>B162*$B$11</f>
        <v/>
      </c>
    </row>
    <row r="163" ht="14" customHeight="1">
      <c r="A163" s="94" t="n">
        <v>149</v>
      </c>
      <c r="B163" s="95" t="n">
        <v>0.00328377</v>
      </c>
      <c r="C163" s="43">
        <f>EXP(B163)-1</f>
        <v/>
      </c>
      <c r="D163" s="57">
        <f>B163*$B$11</f>
        <v/>
      </c>
    </row>
    <row r="164" ht="14" customHeight="1">
      <c r="A164" s="96" t="n">
        <v>150</v>
      </c>
      <c r="B164" s="97" t="n">
        <v>0.01003752</v>
      </c>
      <c r="C164" s="40">
        <f>EXP(B164)-1</f>
        <v/>
      </c>
      <c r="D164" s="59">
        <f>B164*$B$11</f>
        <v/>
      </c>
    </row>
    <row r="165" ht="14" customHeight="1">
      <c r="A165" s="94" t="n">
        <v>151</v>
      </c>
      <c r="B165" s="95" t="n">
        <v>0.01752722</v>
      </c>
      <c r="C165" s="43">
        <f>EXP(B165)-1</f>
        <v/>
      </c>
      <c r="D165" s="57">
        <f>B165*$B$11</f>
        <v/>
      </c>
    </row>
    <row r="166" ht="14" customHeight="1">
      <c r="A166" s="96" t="n">
        <v>152</v>
      </c>
      <c r="B166" s="97" t="n">
        <v>-0.00037978</v>
      </c>
      <c r="C166" s="40">
        <f>EXP(B166)-1</f>
        <v/>
      </c>
      <c r="D166" s="59">
        <f>B166*$B$11</f>
        <v/>
      </c>
    </row>
    <row r="167" ht="14" customHeight="1">
      <c r="A167" s="94" t="n">
        <v>153</v>
      </c>
      <c r="B167" s="95" t="n">
        <v>-0.01325694</v>
      </c>
      <c r="C167" s="43">
        <f>EXP(B167)-1</f>
        <v/>
      </c>
      <c r="D167" s="57">
        <f>B167*$B$11</f>
        <v/>
      </c>
    </row>
    <row r="168" ht="14" customHeight="1">
      <c r="A168" s="96" t="n">
        <v>154</v>
      </c>
      <c r="B168" s="97" t="n">
        <v>0.0056442</v>
      </c>
      <c r="C168" s="40">
        <f>EXP(B168)-1</f>
        <v/>
      </c>
      <c r="D168" s="59">
        <f>B168*$B$11</f>
        <v/>
      </c>
    </row>
    <row r="169" ht="14" customHeight="1">
      <c r="A169" s="94" t="n">
        <v>155</v>
      </c>
      <c r="B169" s="95" t="n">
        <v>0.00635385</v>
      </c>
      <c r="C169" s="43">
        <f>EXP(B169)-1</f>
        <v/>
      </c>
      <c r="D169" s="57">
        <f>B169*$B$11</f>
        <v/>
      </c>
    </row>
    <row r="170" ht="14" customHeight="1">
      <c r="A170" s="96" t="n">
        <v>156</v>
      </c>
      <c r="B170" s="97" t="n">
        <v>0.0060499</v>
      </c>
      <c r="C170" s="40">
        <f>EXP(B170)-1</f>
        <v/>
      </c>
      <c r="D170" s="59">
        <f>B170*$B$11</f>
        <v/>
      </c>
    </row>
    <row r="171" ht="14" customHeight="1">
      <c r="A171" s="94" t="n">
        <v>157</v>
      </c>
      <c r="B171" s="95" t="n">
        <v>-0.008253450000000001</v>
      </c>
      <c r="C171" s="43">
        <f>EXP(B171)-1</f>
        <v/>
      </c>
      <c r="D171" s="57">
        <f>B171*$B$11</f>
        <v/>
      </c>
    </row>
    <row r="172" ht="14" customHeight="1">
      <c r="A172" s="96" t="n">
        <v>158</v>
      </c>
      <c r="B172" s="97" t="n">
        <v>0.01375061</v>
      </c>
      <c r="C172" s="40">
        <f>EXP(B172)-1</f>
        <v/>
      </c>
      <c r="D172" s="59">
        <f>B172*$B$11</f>
        <v/>
      </c>
    </row>
    <row r="173" ht="14" customHeight="1">
      <c r="A173" s="94" t="n">
        <v>159</v>
      </c>
      <c r="B173" s="95" t="n">
        <v>0.00120475</v>
      </c>
      <c r="C173" s="43">
        <f>EXP(B173)-1</f>
        <v/>
      </c>
      <c r="D173" s="57">
        <f>B173*$B$11</f>
        <v/>
      </c>
    </row>
    <row r="174" ht="14" customHeight="1">
      <c r="A174" s="96" t="n">
        <v>160</v>
      </c>
      <c r="B174" s="97" t="n">
        <v>0.008547900000000001</v>
      </c>
      <c r="C174" s="40">
        <f>EXP(B174)-1</f>
        <v/>
      </c>
      <c r="D174" s="59">
        <f>B174*$B$11</f>
        <v/>
      </c>
    </row>
    <row r="175" ht="14" customHeight="1">
      <c r="A175" s="94" t="n">
        <v>161</v>
      </c>
      <c r="B175" s="95" t="n">
        <v>0.01543888</v>
      </c>
      <c r="C175" s="43">
        <f>EXP(B175)-1</f>
        <v/>
      </c>
      <c r="D175" s="57">
        <f>B175*$B$11</f>
        <v/>
      </c>
    </row>
    <row r="176" ht="14" customHeight="1">
      <c r="A176" s="96" t="n">
        <v>162</v>
      </c>
      <c r="B176" s="97" t="n">
        <v>0.00746127</v>
      </c>
      <c r="C176" s="40">
        <f>EXP(B176)-1</f>
        <v/>
      </c>
      <c r="D176" s="59">
        <f>B176*$B$11</f>
        <v/>
      </c>
    </row>
    <row r="177" ht="14" customHeight="1">
      <c r="A177" s="94" t="n">
        <v>163</v>
      </c>
      <c r="B177" s="95" t="n">
        <v>0.00358819</v>
      </c>
      <c r="C177" s="43">
        <f>EXP(B177)-1</f>
        <v/>
      </c>
      <c r="D177" s="57">
        <f>B177*$B$11</f>
        <v/>
      </c>
    </row>
    <row r="178" ht="14" customHeight="1">
      <c r="A178" s="96" t="n">
        <v>164</v>
      </c>
      <c r="B178" s="97" t="n">
        <v>0.02598354</v>
      </c>
      <c r="C178" s="40">
        <f>EXP(B178)-1</f>
        <v/>
      </c>
      <c r="D178" s="59">
        <f>B178*$B$11</f>
        <v/>
      </c>
    </row>
    <row r="179" ht="14" customHeight="1">
      <c r="A179" s="94" t="n">
        <v>165</v>
      </c>
      <c r="B179" s="95" t="n">
        <v>0.00307444</v>
      </c>
      <c r="C179" s="43">
        <f>EXP(B179)-1</f>
        <v/>
      </c>
      <c r="D179" s="57">
        <f>B179*$B$11</f>
        <v/>
      </c>
    </row>
    <row r="180" ht="14" customHeight="1">
      <c r="A180" s="96" t="n">
        <v>166</v>
      </c>
      <c r="B180" s="97" t="n">
        <v>-0.00340157</v>
      </c>
      <c r="C180" s="40">
        <f>EXP(B180)-1</f>
        <v/>
      </c>
      <c r="D180" s="59">
        <f>B180*$B$11</f>
        <v/>
      </c>
    </row>
    <row r="181" ht="14" customHeight="1">
      <c r="A181" s="94" t="n">
        <v>167</v>
      </c>
      <c r="B181" s="95" t="n">
        <v>0.0014936</v>
      </c>
      <c r="C181" s="43">
        <f>EXP(B181)-1</f>
        <v/>
      </c>
      <c r="D181" s="57">
        <f>B181*$B$11</f>
        <v/>
      </c>
    </row>
    <row r="182" ht="14" customHeight="1">
      <c r="A182" s="96" t="n">
        <v>168</v>
      </c>
      <c r="B182" s="97" t="n">
        <v>0.01794322</v>
      </c>
      <c r="C182" s="40">
        <f>EXP(B182)-1</f>
        <v/>
      </c>
      <c r="D182" s="59">
        <f>B182*$B$11</f>
        <v/>
      </c>
    </row>
    <row r="183" ht="14" customHeight="1">
      <c r="A183" s="94" t="n">
        <v>169</v>
      </c>
      <c r="B183" s="95" t="n">
        <v>0.00157455</v>
      </c>
      <c r="C183" s="43">
        <f>EXP(B183)-1</f>
        <v/>
      </c>
      <c r="D183" s="57">
        <f>B183*$B$11</f>
        <v/>
      </c>
    </row>
    <row r="184" ht="14" customHeight="1">
      <c r="A184" s="96" t="n">
        <v>170</v>
      </c>
      <c r="B184" s="97" t="n">
        <v>0.00638253</v>
      </c>
      <c r="C184" s="40">
        <f>EXP(B184)-1</f>
        <v/>
      </c>
      <c r="D184" s="59">
        <f>B184*$B$11</f>
        <v/>
      </c>
    </row>
    <row r="185" ht="14" customHeight="1">
      <c r="A185" s="94" t="n">
        <v>171</v>
      </c>
      <c r="B185" s="95" t="n">
        <v>0.01449878</v>
      </c>
      <c r="C185" s="43">
        <f>EXP(B185)-1</f>
        <v/>
      </c>
      <c r="D185" s="57">
        <f>B185*$B$11</f>
        <v/>
      </c>
    </row>
    <row r="186" ht="14" customHeight="1">
      <c r="A186" s="96" t="n">
        <v>172</v>
      </c>
      <c r="B186" s="97" t="n">
        <v>-0.0060043</v>
      </c>
      <c r="C186" s="40">
        <f>EXP(B186)-1</f>
        <v/>
      </c>
      <c r="D186" s="59">
        <f>B186*$B$11</f>
        <v/>
      </c>
    </row>
    <row r="187" ht="14" customHeight="1">
      <c r="A187" s="94" t="n">
        <v>173</v>
      </c>
      <c r="B187" s="95" t="n">
        <v>-0.02056884</v>
      </c>
      <c r="C187" s="43">
        <f>EXP(B187)-1</f>
        <v/>
      </c>
      <c r="D187" s="57">
        <f>B187*$B$11</f>
        <v/>
      </c>
    </row>
    <row r="188" ht="14" customHeight="1">
      <c r="A188" s="96" t="n">
        <v>174</v>
      </c>
      <c r="B188" s="97" t="n">
        <v>0.00374308</v>
      </c>
      <c r="C188" s="40">
        <f>EXP(B188)-1</f>
        <v/>
      </c>
      <c r="D188" s="59">
        <f>B188*$B$11</f>
        <v/>
      </c>
    </row>
    <row r="189" ht="14" customHeight="1">
      <c r="A189" s="94" t="n">
        <v>175</v>
      </c>
      <c r="B189" s="95" t="n">
        <v>0.00290682</v>
      </c>
      <c r="C189" s="43">
        <f>EXP(B189)-1</f>
        <v/>
      </c>
      <c r="D189" s="57">
        <f>B189*$B$11</f>
        <v/>
      </c>
    </row>
    <row r="190" ht="14" customHeight="1">
      <c r="A190" s="96" t="n">
        <v>176</v>
      </c>
      <c r="B190" s="97" t="n">
        <v>-0.00714612</v>
      </c>
      <c r="C190" s="40">
        <f>EXP(B190)-1</f>
        <v/>
      </c>
      <c r="D190" s="59">
        <f>B190*$B$11</f>
        <v/>
      </c>
    </row>
    <row r="191" ht="14" customHeight="1">
      <c r="A191" s="94" t="n">
        <v>177</v>
      </c>
      <c r="B191" s="95" t="n">
        <v>0.01060304</v>
      </c>
      <c r="C191" s="43">
        <f>EXP(B191)-1</f>
        <v/>
      </c>
      <c r="D191" s="57">
        <f>B191*$B$11</f>
        <v/>
      </c>
    </row>
    <row r="192" ht="14" customHeight="1">
      <c r="A192" s="96" t="n">
        <v>178</v>
      </c>
      <c r="B192" s="97" t="n">
        <v>0.00744081</v>
      </c>
      <c r="C192" s="40">
        <f>EXP(B192)-1</f>
        <v/>
      </c>
      <c r="D192" s="59">
        <f>B192*$B$11</f>
        <v/>
      </c>
    </row>
    <row r="193" ht="14" customHeight="1">
      <c r="A193" s="94" t="n">
        <v>179</v>
      </c>
      <c r="B193" s="95" t="n">
        <v>-0.01178991</v>
      </c>
      <c r="C193" s="43">
        <f>EXP(B193)-1</f>
        <v/>
      </c>
      <c r="D193" s="57">
        <f>B193*$B$11</f>
        <v/>
      </c>
    </row>
    <row r="194" ht="14" customHeight="1">
      <c r="A194" s="96" t="n">
        <v>180</v>
      </c>
      <c r="B194" s="97" t="n">
        <v>0.00636862</v>
      </c>
      <c r="C194" s="40">
        <f>EXP(B194)-1</f>
        <v/>
      </c>
      <c r="D194" s="59">
        <f>B194*$B$11</f>
        <v/>
      </c>
    </row>
    <row r="195" ht="14" customHeight="1">
      <c r="A195" s="94" t="n">
        <v>181</v>
      </c>
      <c r="B195" s="95" t="n">
        <v>-0.00220326</v>
      </c>
      <c r="C195" s="43">
        <f>EXP(B195)-1</f>
        <v/>
      </c>
      <c r="D195" s="57">
        <f>B195*$B$11</f>
        <v/>
      </c>
    </row>
    <row r="196" ht="14" customHeight="1">
      <c r="A196" s="96" t="n">
        <v>182</v>
      </c>
      <c r="B196" s="97" t="n">
        <v>-0.0176463</v>
      </c>
      <c r="C196" s="40">
        <f>EXP(B196)-1</f>
        <v/>
      </c>
      <c r="D196" s="59">
        <f>B196*$B$11</f>
        <v/>
      </c>
    </row>
    <row r="197" ht="14" customHeight="1">
      <c r="A197" s="94" t="n">
        <v>183</v>
      </c>
      <c r="B197" s="95" t="n">
        <v>0.0055854</v>
      </c>
      <c r="C197" s="43">
        <f>EXP(B197)-1</f>
        <v/>
      </c>
      <c r="D197" s="57">
        <f>B197*$B$11</f>
        <v/>
      </c>
    </row>
    <row r="198" ht="14" customHeight="1">
      <c r="A198" s="96" t="n">
        <v>184</v>
      </c>
      <c r="B198" s="97" t="n">
        <v>-0.00039258</v>
      </c>
      <c r="C198" s="40">
        <f>EXP(B198)-1</f>
        <v/>
      </c>
      <c r="D198" s="59">
        <f>B198*$B$11</f>
        <v/>
      </c>
    </row>
    <row r="199" ht="14" customHeight="1">
      <c r="A199" s="94" t="n">
        <v>185</v>
      </c>
      <c r="B199" s="95" t="n">
        <v>-0.00879339</v>
      </c>
      <c r="C199" s="43">
        <f>EXP(B199)-1</f>
        <v/>
      </c>
      <c r="D199" s="57">
        <f>B199*$B$11</f>
        <v/>
      </c>
    </row>
    <row r="200" ht="14" customHeight="1">
      <c r="A200" s="96" t="n">
        <v>186</v>
      </c>
      <c r="B200" s="97" t="n">
        <v>0.00642535</v>
      </c>
      <c r="C200" s="40">
        <f>EXP(B200)-1</f>
        <v/>
      </c>
      <c r="D200" s="59">
        <f>B200*$B$11</f>
        <v/>
      </c>
    </row>
    <row r="201" ht="14" customHeight="1">
      <c r="A201" s="94" t="n">
        <v>187</v>
      </c>
      <c r="B201" s="95" t="n">
        <v>0.00600712</v>
      </c>
      <c r="C201" s="43">
        <f>EXP(B201)-1</f>
        <v/>
      </c>
      <c r="D201" s="57">
        <f>B201*$B$11</f>
        <v/>
      </c>
    </row>
    <row r="202" ht="14" customHeight="1">
      <c r="A202" s="96" t="n">
        <v>188</v>
      </c>
      <c r="B202" s="97" t="n">
        <v>-0.00678045</v>
      </c>
      <c r="C202" s="40">
        <f>EXP(B202)-1</f>
        <v/>
      </c>
      <c r="D202" s="59">
        <f>B202*$B$11</f>
        <v/>
      </c>
    </row>
    <row r="203" ht="14" customHeight="1">
      <c r="A203" s="94" t="n">
        <v>189</v>
      </c>
      <c r="B203" s="95" t="n">
        <v>0.00495423</v>
      </c>
      <c r="C203" s="43">
        <f>EXP(B203)-1</f>
        <v/>
      </c>
      <c r="D203" s="57">
        <f>B203*$B$11</f>
        <v/>
      </c>
    </row>
    <row r="204" ht="14" customHeight="1">
      <c r="A204" s="96" t="n">
        <v>190</v>
      </c>
      <c r="B204" s="97" t="n">
        <v>0.01233078</v>
      </c>
      <c r="C204" s="40">
        <f>EXP(B204)-1</f>
        <v/>
      </c>
      <c r="D204" s="59">
        <f>B204*$B$11</f>
        <v/>
      </c>
    </row>
    <row r="205" ht="14" customHeight="1">
      <c r="A205" s="94" t="n">
        <v>191</v>
      </c>
      <c r="B205" s="95" t="n">
        <v>-0.008402</v>
      </c>
      <c r="C205" s="43">
        <f>EXP(B205)-1</f>
        <v/>
      </c>
      <c r="D205" s="57">
        <f>B205*$B$11</f>
        <v/>
      </c>
    </row>
    <row r="206" ht="14" customHeight="1">
      <c r="A206" s="96" t="n">
        <v>192</v>
      </c>
      <c r="B206" s="97" t="n">
        <v>0.00472068</v>
      </c>
      <c r="C206" s="40">
        <f>EXP(B206)-1</f>
        <v/>
      </c>
      <c r="D206" s="59">
        <f>B206*$B$11</f>
        <v/>
      </c>
    </row>
    <row r="207" ht="14" customHeight="1">
      <c r="A207" s="94" t="n">
        <v>193</v>
      </c>
      <c r="B207" s="95" t="n">
        <v>0.00018307</v>
      </c>
      <c r="C207" s="43">
        <f>EXP(B207)-1</f>
        <v/>
      </c>
      <c r="D207" s="57">
        <f>B207*$B$11</f>
        <v/>
      </c>
    </row>
    <row r="208" ht="14" customHeight="1">
      <c r="A208" s="96" t="n">
        <v>194</v>
      </c>
      <c r="B208" s="97" t="n">
        <v>0.02734212</v>
      </c>
      <c r="C208" s="40">
        <f>EXP(B208)-1</f>
        <v/>
      </c>
      <c r="D208" s="59">
        <f>B208*$B$11</f>
        <v/>
      </c>
    </row>
    <row r="209" ht="14" customHeight="1">
      <c r="A209" s="94" t="n">
        <v>195</v>
      </c>
      <c r="B209" s="95" t="n">
        <v>-0.02219764</v>
      </c>
      <c r="C209" s="43">
        <f>EXP(B209)-1</f>
        <v/>
      </c>
      <c r="D209" s="57">
        <f>B209*$B$11</f>
        <v/>
      </c>
    </row>
    <row r="210" ht="14" customHeight="1">
      <c r="A210" s="96" t="n">
        <v>196</v>
      </c>
      <c r="B210" s="97" t="n">
        <v>0.00849341</v>
      </c>
      <c r="C210" s="40">
        <f>EXP(B210)-1</f>
        <v/>
      </c>
      <c r="D210" s="59">
        <f>B210*$B$11</f>
        <v/>
      </c>
    </row>
    <row r="211" ht="14" customHeight="1">
      <c r="A211" s="94" t="n">
        <v>197</v>
      </c>
      <c r="B211" s="95" t="n">
        <v>-0.00352494</v>
      </c>
      <c r="C211" s="43">
        <f>EXP(B211)-1</f>
        <v/>
      </c>
      <c r="D211" s="57">
        <f>B211*$B$11</f>
        <v/>
      </c>
    </row>
    <row r="212" ht="14" customHeight="1">
      <c r="A212" s="96" t="n">
        <v>198</v>
      </c>
      <c r="B212" s="97" t="n">
        <v>-0.00105237</v>
      </c>
      <c r="C212" s="40">
        <f>EXP(B212)-1</f>
        <v/>
      </c>
      <c r="D212" s="59">
        <f>B212*$B$11</f>
        <v/>
      </c>
    </row>
    <row r="213" ht="14" customHeight="1">
      <c r="A213" s="94" t="n">
        <v>199</v>
      </c>
      <c r="B213" s="95" t="n">
        <v>0.02296907</v>
      </c>
      <c r="C213" s="43">
        <f>EXP(B213)-1</f>
        <v/>
      </c>
      <c r="D213" s="57">
        <f>B213*$B$11</f>
        <v/>
      </c>
    </row>
    <row r="214" ht="14" customHeight="1">
      <c r="A214" s="96" t="n">
        <v>200</v>
      </c>
      <c r="B214" s="97" t="n">
        <v>4.712e-05</v>
      </c>
      <c r="C214" s="40">
        <f>EXP(B214)-1</f>
        <v/>
      </c>
      <c r="D214" s="59">
        <f>B214*$B$11</f>
        <v/>
      </c>
    </row>
    <row r="215" ht="14" customHeight="1">
      <c r="A215" s="94" t="n">
        <v>201</v>
      </c>
      <c r="B215" s="95" t="n">
        <v>0.02704132</v>
      </c>
      <c r="C215" s="43">
        <f>EXP(B215)-1</f>
        <v/>
      </c>
      <c r="D215" s="57">
        <f>B215*$B$11</f>
        <v/>
      </c>
    </row>
    <row r="216" ht="14" customHeight="1">
      <c r="A216" s="96" t="n">
        <v>202</v>
      </c>
      <c r="B216" s="97" t="n">
        <v>-0.00515578</v>
      </c>
      <c r="C216" s="40">
        <f>EXP(B216)-1</f>
        <v/>
      </c>
      <c r="D216" s="59">
        <f>B216*$B$11</f>
        <v/>
      </c>
    </row>
    <row r="217" ht="14" customHeight="1">
      <c r="A217" s="94" t="n">
        <v>203</v>
      </c>
      <c r="B217" s="95" t="n">
        <v>0.00435614</v>
      </c>
      <c r="C217" s="43">
        <f>EXP(B217)-1</f>
        <v/>
      </c>
      <c r="D217" s="57">
        <f>B217*$B$11</f>
        <v/>
      </c>
    </row>
    <row r="218" ht="14" customHeight="1">
      <c r="A218" s="96" t="n">
        <v>204</v>
      </c>
      <c r="B218" s="97" t="n">
        <v>-0.00574017</v>
      </c>
      <c r="C218" s="40">
        <f>EXP(B218)-1</f>
        <v/>
      </c>
      <c r="D218" s="59">
        <f>B218*$B$11</f>
        <v/>
      </c>
    </row>
    <row r="219" ht="14" customHeight="1">
      <c r="A219" s="94" t="n">
        <v>205</v>
      </c>
      <c r="B219" s="95" t="n">
        <v>-0.00813826</v>
      </c>
      <c r="C219" s="43">
        <f>EXP(B219)-1</f>
        <v/>
      </c>
      <c r="D219" s="57">
        <f>B219*$B$11</f>
        <v/>
      </c>
    </row>
    <row r="220" ht="14" customHeight="1">
      <c r="A220" s="96" t="n">
        <v>206</v>
      </c>
      <c r="B220" s="97" t="n">
        <v>0.0008998</v>
      </c>
      <c r="C220" s="40">
        <f>EXP(B220)-1</f>
        <v/>
      </c>
      <c r="D220" s="59">
        <f>B220*$B$11</f>
        <v/>
      </c>
    </row>
    <row r="221" ht="14" customHeight="1">
      <c r="A221" s="94" t="n">
        <v>207</v>
      </c>
      <c r="B221" s="95" t="n">
        <v>-0.00324086</v>
      </c>
      <c r="C221" s="43">
        <f>EXP(B221)-1</f>
        <v/>
      </c>
      <c r="D221" s="57">
        <f>B221*$B$11</f>
        <v/>
      </c>
    </row>
    <row r="222" ht="14" customHeight="1">
      <c r="A222" s="96" t="n">
        <v>208</v>
      </c>
      <c r="B222" s="97" t="n">
        <v>0.0025799</v>
      </c>
      <c r="C222" s="40">
        <f>EXP(B222)-1</f>
        <v/>
      </c>
      <c r="D222" s="59">
        <f>B222*$B$11</f>
        <v/>
      </c>
    </row>
    <row r="223" ht="14" customHeight="1">
      <c r="A223" s="94" t="n">
        <v>209</v>
      </c>
      <c r="B223" s="95" t="n">
        <v>-0.02511033</v>
      </c>
      <c r="C223" s="43">
        <f>EXP(B223)-1</f>
        <v/>
      </c>
      <c r="D223" s="57">
        <f>B223*$B$11</f>
        <v/>
      </c>
    </row>
    <row r="224" ht="14" customHeight="1">
      <c r="A224" s="96" t="n">
        <v>210</v>
      </c>
      <c r="B224" s="97" t="n">
        <v>0.02417961</v>
      </c>
      <c r="C224" s="40">
        <f>EXP(B224)-1</f>
        <v/>
      </c>
      <c r="D224" s="59">
        <f>B224*$B$11</f>
        <v/>
      </c>
    </row>
    <row r="225" ht="14" customHeight="1">
      <c r="A225" s="94" t="n">
        <v>211</v>
      </c>
      <c r="B225" s="95" t="n">
        <v>-0.00185396</v>
      </c>
      <c r="C225" s="43">
        <f>EXP(B225)-1</f>
        <v/>
      </c>
      <c r="D225" s="57">
        <f>B225*$B$11</f>
        <v/>
      </c>
    </row>
    <row r="226" ht="14" customHeight="1">
      <c r="A226" s="96" t="n">
        <v>212</v>
      </c>
      <c r="B226" s="97" t="n">
        <v>0.02106487</v>
      </c>
      <c r="C226" s="40">
        <f>EXP(B226)-1</f>
        <v/>
      </c>
      <c r="D226" s="59">
        <f>B226*$B$11</f>
        <v/>
      </c>
    </row>
    <row r="227" ht="14" customHeight="1">
      <c r="A227" s="94" t="n">
        <v>213</v>
      </c>
      <c r="B227" s="95" t="n">
        <v>-0.01193535</v>
      </c>
      <c r="C227" s="43">
        <f>EXP(B227)-1</f>
        <v/>
      </c>
      <c r="D227" s="57">
        <f>B227*$B$11</f>
        <v/>
      </c>
    </row>
    <row r="228" ht="14" customHeight="1">
      <c r="A228" s="96" t="n">
        <v>214</v>
      </c>
      <c r="B228" s="97" t="n">
        <v>0.00366043</v>
      </c>
      <c r="C228" s="40">
        <f>EXP(B228)-1</f>
        <v/>
      </c>
      <c r="D228" s="59">
        <f>B228*$B$11</f>
        <v/>
      </c>
    </row>
    <row r="229" ht="14" customHeight="1">
      <c r="A229" s="94" t="n">
        <v>215</v>
      </c>
      <c r="B229" s="95" t="n">
        <v>0.03812931</v>
      </c>
      <c r="C229" s="43">
        <f>EXP(B229)-1</f>
        <v/>
      </c>
      <c r="D229" s="57">
        <f>B229*$B$11</f>
        <v/>
      </c>
    </row>
    <row r="230" ht="14" customHeight="1">
      <c r="A230" s="96" t="n">
        <v>216</v>
      </c>
      <c r="B230" s="97" t="n">
        <v>-0.01028675</v>
      </c>
      <c r="C230" s="40">
        <f>EXP(B230)-1</f>
        <v/>
      </c>
      <c r="D230" s="59">
        <f>B230*$B$11</f>
        <v/>
      </c>
    </row>
    <row r="231" ht="14" customHeight="1">
      <c r="A231" s="94" t="n">
        <v>217</v>
      </c>
      <c r="B231" s="95" t="n">
        <v>-0.0177936</v>
      </c>
      <c r="C231" s="43">
        <f>EXP(B231)-1</f>
        <v/>
      </c>
      <c r="D231" s="57">
        <f>B231*$B$11</f>
        <v/>
      </c>
    </row>
    <row r="232" ht="14" customHeight="1">
      <c r="A232" s="96" t="n">
        <v>218</v>
      </c>
      <c r="B232" s="97" t="n">
        <v>-0.00640811</v>
      </c>
      <c r="C232" s="40">
        <f>EXP(B232)-1</f>
        <v/>
      </c>
      <c r="D232" s="59">
        <f>B232*$B$11</f>
        <v/>
      </c>
    </row>
    <row r="233" ht="14" customHeight="1">
      <c r="A233" s="94" t="n">
        <v>219</v>
      </c>
      <c r="B233" s="95" t="n">
        <v>0.00581986</v>
      </c>
      <c r="C233" s="43">
        <f>EXP(B233)-1</f>
        <v/>
      </c>
      <c r="D233" s="57">
        <f>B233*$B$11</f>
        <v/>
      </c>
    </row>
    <row r="234" ht="14" customHeight="1">
      <c r="A234" s="96" t="n">
        <v>220</v>
      </c>
      <c r="B234" s="97" t="n">
        <v>0.00847008</v>
      </c>
      <c r="C234" s="40">
        <f>EXP(B234)-1</f>
        <v/>
      </c>
      <c r="D234" s="59">
        <f>B234*$B$11</f>
        <v/>
      </c>
    </row>
    <row r="235" ht="14" customHeight="1">
      <c r="A235" s="94" t="n">
        <v>221</v>
      </c>
      <c r="B235" s="95" t="n">
        <v>0.0156344</v>
      </c>
      <c r="C235" s="43">
        <f>EXP(B235)-1</f>
        <v/>
      </c>
      <c r="D235" s="57">
        <f>B235*$B$11</f>
        <v/>
      </c>
    </row>
    <row r="236" ht="14" customHeight="1">
      <c r="A236" s="96" t="n">
        <v>222</v>
      </c>
      <c r="B236" s="97" t="n">
        <v>-0.00293415</v>
      </c>
      <c r="C236" s="40">
        <f>EXP(B236)-1</f>
        <v/>
      </c>
      <c r="D236" s="59">
        <f>B236*$B$11</f>
        <v/>
      </c>
    </row>
    <row r="237" ht="14" customHeight="1">
      <c r="A237" s="94" t="n">
        <v>223</v>
      </c>
      <c r="B237" s="95" t="n">
        <v>-0.01907701</v>
      </c>
      <c r="C237" s="43">
        <f>EXP(B237)-1</f>
        <v/>
      </c>
      <c r="D237" s="57">
        <f>B237*$B$11</f>
        <v/>
      </c>
    </row>
    <row r="238" ht="14" customHeight="1">
      <c r="A238" s="96" t="n">
        <v>224</v>
      </c>
      <c r="B238" s="97" t="n">
        <v>-0.00507036</v>
      </c>
      <c r="C238" s="40">
        <f>EXP(B238)-1</f>
        <v/>
      </c>
      <c r="D238" s="59">
        <f>B238*$B$11</f>
        <v/>
      </c>
    </row>
    <row r="239" ht="14" customHeight="1">
      <c r="A239" s="94" t="n">
        <v>225</v>
      </c>
      <c r="B239" s="95" t="n">
        <v>0.01503267</v>
      </c>
      <c r="C239" s="43">
        <f>EXP(B239)-1</f>
        <v/>
      </c>
      <c r="D239" s="57">
        <f>B239*$B$11</f>
        <v/>
      </c>
    </row>
    <row r="240" ht="14" customHeight="1">
      <c r="A240" s="96" t="n">
        <v>226</v>
      </c>
      <c r="B240" s="97" t="n">
        <v>0.00573795</v>
      </c>
      <c r="C240" s="40">
        <f>EXP(B240)-1</f>
        <v/>
      </c>
      <c r="D240" s="59">
        <f>B240*$B$11</f>
        <v/>
      </c>
    </row>
    <row r="241" ht="14" customHeight="1">
      <c r="A241" s="94" t="n">
        <v>227</v>
      </c>
      <c r="B241" s="95" t="n">
        <v>-0.02333327</v>
      </c>
      <c r="C241" s="43">
        <f>EXP(B241)-1</f>
        <v/>
      </c>
      <c r="D241" s="57">
        <f>B241*$B$11</f>
        <v/>
      </c>
    </row>
    <row r="242" ht="14" customHeight="1">
      <c r="A242" s="96" t="n">
        <v>228</v>
      </c>
      <c r="B242" s="97" t="n">
        <v>-0.00027062</v>
      </c>
      <c r="C242" s="40">
        <f>EXP(B242)-1</f>
        <v/>
      </c>
      <c r="D242" s="59">
        <f>B242*$B$11</f>
        <v/>
      </c>
    </row>
    <row r="243" ht="14" customHeight="1">
      <c r="A243" s="94" t="n">
        <v>229</v>
      </c>
      <c r="B243" s="95" t="n">
        <v>0.01692802</v>
      </c>
      <c r="C243" s="43">
        <f>EXP(B243)-1</f>
        <v/>
      </c>
      <c r="D243" s="57">
        <f>B243*$B$11</f>
        <v/>
      </c>
    </row>
    <row r="244" ht="14" customHeight="1">
      <c r="A244" s="96" t="n">
        <v>230</v>
      </c>
      <c r="B244" s="97" t="n">
        <v>0.02566858</v>
      </c>
      <c r="C244" s="40">
        <f>EXP(B244)-1</f>
        <v/>
      </c>
      <c r="D244" s="59">
        <f>B244*$B$11</f>
        <v/>
      </c>
    </row>
    <row r="245" ht="14" customHeight="1">
      <c r="A245" s="94" t="n">
        <v>231</v>
      </c>
      <c r="B245" s="95" t="n">
        <v>0.00689024</v>
      </c>
      <c r="C245" s="43">
        <f>EXP(B245)-1</f>
        <v/>
      </c>
      <c r="D245" s="57">
        <f>B245*$B$11</f>
        <v/>
      </c>
    </row>
    <row r="246" ht="14" customHeight="1">
      <c r="A246" s="96" t="n">
        <v>232</v>
      </c>
      <c r="B246" s="97" t="n">
        <v>0.00386163</v>
      </c>
      <c r="C246" s="40">
        <f>EXP(B246)-1</f>
        <v/>
      </c>
      <c r="D246" s="59">
        <f>B246*$B$11</f>
        <v/>
      </c>
    </row>
    <row r="247" ht="14" customHeight="1">
      <c r="A247" s="94" t="n">
        <v>233</v>
      </c>
      <c r="B247" s="95" t="n">
        <v>-0.01473247</v>
      </c>
      <c r="C247" s="43">
        <f>EXP(B247)-1</f>
        <v/>
      </c>
      <c r="D247" s="57">
        <f>B247*$B$11</f>
        <v/>
      </c>
    </row>
    <row r="248" ht="14" customHeight="1">
      <c r="A248" s="96" t="n">
        <v>234</v>
      </c>
      <c r="B248" s="97" t="n">
        <v>-0.009968909999999999</v>
      </c>
      <c r="C248" s="40">
        <f>EXP(B248)-1</f>
        <v/>
      </c>
      <c r="D248" s="59">
        <f>B248*$B$11</f>
        <v/>
      </c>
    </row>
    <row r="249" ht="14" customHeight="1">
      <c r="A249" s="94" t="n">
        <v>235</v>
      </c>
      <c r="B249" s="95" t="n">
        <v>0.00071299</v>
      </c>
      <c r="C249" s="43">
        <f>EXP(B249)-1</f>
        <v/>
      </c>
      <c r="D249" s="57">
        <f>B249*$B$11</f>
        <v/>
      </c>
    </row>
    <row r="250" ht="14" customHeight="1">
      <c r="A250" s="96" t="n">
        <v>236</v>
      </c>
      <c r="B250" s="97" t="n">
        <v>0.00618837</v>
      </c>
      <c r="C250" s="40">
        <f>EXP(B250)-1</f>
        <v/>
      </c>
      <c r="D250" s="59">
        <f>B250*$B$11</f>
        <v/>
      </c>
    </row>
    <row r="251" ht="14" customHeight="1">
      <c r="A251" s="94" t="n">
        <v>237</v>
      </c>
      <c r="B251" s="95" t="n">
        <v>0.00711221</v>
      </c>
      <c r="C251" s="43">
        <f>EXP(B251)-1</f>
        <v/>
      </c>
      <c r="D251" s="57">
        <f>B251*$B$11</f>
        <v/>
      </c>
    </row>
    <row r="252" ht="14" customHeight="1">
      <c r="A252" s="96" t="n">
        <v>238</v>
      </c>
      <c r="B252" s="97" t="n">
        <v>-0.0055885</v>
      </c>
      <c r="C252" s="40">
        <f>EXP(B252)-1</f>
        <v/>
      </c>
      <c r="D252" s="59">
        <f>B252*$B$11</f>
        <v/>
      </c>
    </row>
    <row r="253" ht="14" customHeight="1">
      <c r="A253" s="94" t="n">
        <v>239</v>
      </c>
      <c r="B253" s="95" t="n">
        <v>-0.01367331</v>
      </c>
      <c r="C253" s="43">
        <f>EXP(B253)-1</f>
        <v/>
      </c>
      <c r="D253" s="57">
        <f>B253*$B$11</f>
        <v/>
      </c>
    </row>
    <row r="254" ht="14" customHeight="1">
      <c r="A254" s="96" t="n">
        <v>240</v>
      </c>
      <c r="B254" s="97" t="n">
        <v>-0.00918338</v>
      </c>
      <c r="C254" s="40">
        <f>EXP(B254)-1</f>
        <v/>
      </c>
      <c r="D254" s="59">
        <f>B254*$B$11</f>
        <v/>
      </c>
    </row>
    <row r="255" ht="14" customHeight="1">
      <c r="A255" s="94" t="n">
        <v>241</v>
      </c>
      <c r="B255" s="95" t="n">
        <v>-0.01373369</v>
      </c>
      <c r="C255" s="43">
        <f>EXP(B255)-1</f>
        <v/>
      </c>
      <c r="D255" s="57">
        <f>B255*$B$11</f>
        <v/>
      </c>
    </row>
    <row r="256" ht="14" customHeight="1">
      <c r="A256" s="96" t="n">
        <v>242</v>
      </c>
      <c r="B256" s="97" t="n">
        <v>0.00787091</v>
      </c>
      <c r="C256" s="40">
        <f>EXP(B256)-1</f>
        <v/>
      </c>
      <c r="D256" s="59">
        <f>B256*$B$11</f>
        <v/>
      </c>
    </row>
    <row r="257" ht="14" customHeight="1">
      <c r="A257" s="94" t="n">
        <v>243</v>
      </c>
      <c r="B257" s="95" t="n">
        <v>-0.02759737</v>
      </c>
      <c r="C257" s="43">
        <f>EXP(B257)-1</f>
        <v/>
      </c>
      <c r="D257" s="57">
        <f>B257*$B$11</f>
        <v/>
      </c>
    </row>
    <row r="258" ht="14" customHeight="1">
      <c r="A258" s="96" t="n">
        <v>244</v>
      </c>
      <c r="B258" s="97" t="n">
        <v>-0.00384934</v>
      </c>
      <c r="C258" s="40">
        <f>EXP(B258)-1</f>
        <v/>
      </c>
      <c r="D258" s="59">
        <f>B258*$B$11</f>
        <v/>
      </c>
    </row>
    <row r="259" ht="14" customHeight="1">
      <c r="A259" s="94" t="n">
        <v>245</v>
      </c>
      <c r="B259" s="95" t="n">
        <v>0.00554854</v>
      </c>
      <c r="C259" s="43">
        <f>EXP(B259)-1</f>
        <v/>
      </c>
      <c r="D259" s="57">
        <f>B259*$B$11</f>
        <v/>
      </c>
    </row>
    <row r="260" ht="14" customHeight="1">
      <c r="A260" s="96" t="n">
        <v>246</v>
      </c>
      <c r="B260" s="97" t="n">
        <v>0.01841415</v>
      </c>
      <c r="C260" s="40">
        <f>EXP(B260)-1</f>
        <v/>
      </c>
      <c r="D260" s="59">
        <f>B260*$B$11</f>
        <v/>
      </c>
    </row>
    <row r="261" ht="14" customHeight="1">
      <c r="A261" s="94" t="n">
        <v>247</v>
      </c>
      <c r="B261" s="95" t="n">
        <v>0.0010056</v>
      </c>
      <c r="C261" s="43">
        <f>EXP(B261)-1</f>
        <v/>
      </c>
      <c r="D261" s="57">
        <f>B261*$B$11</f>
        <v/>
      </c>
    </row>
    <row r="262" ht="14" customHeight="1">
      <c r="A262" s="96" t="n">
        <v>248</v>
      </c>
      <c r="B262" s="97" t="n">
        <v>0.01216541</v>
      </c>
      <c r="C262" s="40">
        <f>EXP(B262)-1</f>
        <v/>
      </c>
      <c r="D262" s="59">
        <f>B262*$B$11</f>
        <v/>
      </c>
    </row>
    <row r="263" ht="14" customHeight="1">
      <c r="A263" s="94" t="n">
        <v>249</v>
      </c>
      <c r="B263" s="95" t="n">
        <v>-0.00463805</v>
      </c>
      <c r="C263" s="43">
        <f>EXP(B263)-1</f>
        <v/>
      </c>
      <c r="D263" s="57">
        <f>B263*$B$11</f>
        <v/>
      </c>
    </row>
    <row r="264" ht="14" customHeight="1">
      <c r="A264" s="96" t="n">
        <v>250</v>
      </c>
      <c r="B264" s="97" t="n">
        <v>-0.00878285</v>
      </c>
      <c r="C264" s="40">
        <f>EXP(B264)-1</f>
        <v/>
      </c>
      <c r="D264" s="59">
        <f>B264*$B$11</f>
        <v/>
      </c>
    </row>
    <row r="265" ht="14" customHeight="1">
      <c r="A265" s="94" t="n">
        <v>251</v>
      </c>
      <c r="B265" s="95" t="n">
        <v>-0.00794272</v>
      </c>
      <c r="C265" s="43">
        <f>EXP(B265)-1</f>
        <v/>
      </c>
      <c r="D265" s="57">
        <f>B265*$B$11</f>
        <v/>
      </c>
    </row>
    <row r="266" ht="14" customHeight="1">
      <c r="A266" s="96" t="n">
        <v>252</v>
      </c>
      <c r="B266" s="97" t="n">
        <v>0.01847803</v>
      </c>
      <c r="C266" s="40">
        <f>EXP(B266)-1</f>
        <v/>
      </c>
      <c r="D266" s="59">
        <f>B266*$B$11</f>
        <v/>
      </c>
    </row>
    <row r="267" ht="14" customHeight="1">
      <c r="A267" s="94" t="n">
        <v>253</v>
      </c>
      <c r="B267" s="95" t="n">
        <v>0.01208065</v>
      </c>
      <c r="C267" s="43">
        <f>EXP(B267)-1</f>
        <v/>
      </c>
      <c r="D267" s="57">
        <f>B267*$B$11</f>
        <v/>
      </c>
    </row>
    <row r="268" ht="14" customHeight="1">
      <c r="A268" s="96" t="n">
        <v>254</v>
      </c>
      <c r="B268" s="97" t="n">
        <v>0.00599878</v>
      </c>
      <c r="C268" s="40">
        <f>EXP(B268)-1</f>
        <v/>
      </c>
      <c r="D268" s="59">
        <f>B268*$B$11</f>
        <v/>
      </c>
    </row>
    <row r="269" ht="14" customHeight="1">
      <c r="A269" s="94" t="n">
        <v>255</v>
      </c>
      <c r="B269" s="95" t="n">
        <v>0.04011323</v>
      </c>
      <c r="C269" s="43">
        <f>EXP(B269)-1</f>
        <v/>
      </c>
      <c r="D269" s="57">
        <f>B269*$B$11</f>
        <v/>
      </c>
    </row>
    <row r="270" ht="14" customHeight="1">
      <c r="A270" s="96" t="n">
        <v>256</v>
      </c>
      <c r="B270" s="97" t="n">
        <v>-0.0002381</v>
      </c>
      <c r="C270" s="40">
        <f>EXP(B270)-1</f>
        <v/>
      </c>
      <c r="D270" s="59">
        <f>B270*$B$11</f>
        <v/>
      </c>
    </row>
    <row r="271" ht="14" customHeight="1">
      <c r="A271" s="94" t="n">
        <v>257</v>
      </c>
      <c r="B271" s="95" t="n">
        <v>0.0075942</v>
      </c>
      <c r="C271" s="43">
        <f>EXP(B271)-1</f>
        <v/>
      </c>
      <c r="D271" s="57">
        <f>B271*$B$11</f>
        <v/>
      </c>
    </row>
    <row r="272" ht="14" customHeight="1">
      <c r="A272" s="96" t="n">
        <v>258</v>
      </c>
      <c r="B272" s="97" t="n">
        <v>0.0038411</v>
      </c>
      <c r="C272" s="40">
        <f>EXP(B272)-1</f>
        <v/>
      </c>
      <c r="D272" s="59">
        <f>B272*$B$11</f>
        <v/>
      </c>
    </row>
    <row r="273" ht="14" customHeight="1">
      <c r="A273" s="94" t="n">
        <v>259</v>
      </c>
      <c r="B273" s="95" t="n">
        <v>-0.00251263</v>
      </c>
      <c r="C273" s="43">
        <f>EXP(B273)-1</f>
        <v/>
      </c>
      <c r="D273" s="57">
        <f>B273*$B$11</f>
        <v/>
      </c>
    </row>
    <row r="274" ht="14" customHeight="1">
      <c r="A274" s="96" t="n">
        <v>260</v>
      </c>
      <c r="B274" s="97" t="n">
        <v>0.02794406</v>
      </c>
      <c r="C274" s="40">
        <f>EXP(B274)-1</f>
        <v/>
      </c>
      <c r="D274" s="59">
        <f>B274*$B$11</f>
        <v/>
      </c>
    </row>
    <row r="275" ht="14" customHeight="1">
      <c r="A275" s="94" t="n">
        <v>261</v>
      </c>
      <c r="B275" s="95" t="n">
        <v>0.01822926</v>
      </c>
      <c r="C275" s="43">
        <f>EXP(B275)-1</f>
        <v/>
      </c>
      <c r="D275" s="57">
        <f>B275*$B$11</f>
        <v/>
      </c>
    </row>
    <row r="276" ht="14" customHeight="1">
      <c r="A276" s="96" t="n">
        <v>262</v>
      </c>
      <c r="B276" s="97" t="n">
        <v>-0.01664376</v>
      </c>
      <c r="C276" s="40">
        <f>EXP(B276)-1</f>
        <v/>
      </c>
      <c r="D276" s="59">
        <f>B276*$B$11</f>
        <v/>
      </c>
    </row>
    <row r="277" ht="14" customHeight="1">
      <c r="A277" s="94" t="n">
        <v>263</v>
      </c>
      <c r="B277" s="95" t="n">
        <v>-0.00464816</v>
      </c>
      <c r="C277" s="43">
        <f>EXP(B277)-1</f>
        <v/>
      </c>
      <c r="D277" s="57">
        <f>B277*$B$11</f>
        <v/>
      </c>
    </row>
    <row r="278" ht="14" customHeight="1">
      <c r="A278" s="96" t="n">
        <v>264</v>
      </c>
      <c r="B278" s="97" t="n">
        <v>0.00529004</v>
      </c>
      <c r="C278" s="40">
        <f>EXP(B278)-1</f>
        <v/>
      </c>
      <c r="D278" s="59">
        <f>B278*$B$11</f>
        <v/>
      </c>
    </row>
    <row r="279" ht="14" customHeight="1">
      <c r="A279" s="94" t="n">
        <v>265</v>
      </c>
      <c r="B279" s="95" t="n">
        <v>0.0095482</v>
      </c>
      <c r="C279" s="43">
        <f>EXP(B279)-1</f>
        <v/>
      </c>
      <c r="D279" s="57">
        <f>B279*$B$11</f>
        <v/>
      </c>
    </row>
    <row r="280" ht="14" customHeight="1">
      <c r="A280" s="96" t="n">
        <v>266</v>
      </c>
      <c r="B280" s="97" t="n">
        <v>-0.01603136</v>
      </c>
      <c r="C280" s="40">
        <f>EXP(B280)-1</f>
        <v/>
      </c>
      <c r="D280" s="59">
        <f>B280*$B$11</f>
        <v/>
      </c>
    </row>
    <row r="281" ht="14" customHeight="1">
      <c r="A281" s="94" t="n">
        <v>267</v>
      </c>
      <c r="B281" s="95" t="n">
        <v>-0.02691674</v>
      </c>
      <c r="C281" s="43">
        <f>EXP(B281)-1</f>
        <v/>
      </c>
      <c r="D281" s="57">
        <f>B281*$B$11</f>
        <v/>
      </c>
    </row>
    <row r="282" ht="14" customHeight="1">
      <c r="A282" s="96" t="n">
        <v>268</v>
      </c>
      <c r="B282" s="97" t="n">
        <v>-0.0227264</v>
      </c>
      <c r="C282" s="40">
        <f>EXP(B282)-1</f>
        <v/>
      </c>
      <c r="D282" s="59">
        <f>B282*$B$11</f>
        <v/>
      </c>
    </row>
    <row r="283" ht="14" customHeight="1">
      <c r="A283" s="94" t="n">
        <v>269</v>
      </c>
      <c r="B283" s="95" t="n">
        <v>-0.00070334</v>
      </c>
      <c r="C283" s="43">
        <f>EXP(B283)-1</f>
        <v/>
      </c>
      <c r="D283" s="57">
        <f>B283*$B$11</f>
        <v/>
      </c>
    </row>
    <row r="284" ht="14" customHeight="1">
      <c r="A284" s="96" t="n">
        <v>270</v>
      </c>
      <c r="B284" s="97" t="n">
        <v>-0.00108844</v>
      </c>
      <c r="C284" s="40">
        <f>EXP(B284)-1</f>
        <v/>
      </c>
      <c r="D284" s="59">
        <f>B284*$B$11</f>
        <v/>
      </c>
    </row>
    <row r="285" ht="14" customHeight="1">
      <c r="A285" s="94" t="n">
        <v>271</v>
      </c>
      <c r="B285" s="95" t="n">
        <v>0.00429263</v>
      </c>
      <c r="C285" s="43">
        <f>EXP(B285)-1</f>
        <v/>
      </c>
      <c r="D285" s="57">
        <f>B285*$B$11</f>
        <v/>
      </c>
    </row>
    <row r="286" ht="14" customHeight="1">
      <c r="A286" s="96" t="n">
        <v>272</v>
      </c>
      <c r="B286" s="97" t="n">
        <v>-0.0090861</v>
      </c>
      <c r="C286" s="40">
        <f>EXP(B286)-1</f>
        <v/>
      </c>
      <c r="D286" s="59">
        <f>B286*$B$11</f>
        <v/>
      </c>
    </row>
    <row r="287" ht="14" customHeight="1">
      <c r="A287" s="94" t="n">
        <v>273</v>
      </c>
      <c r="B287" s="95" t="n">
        <v>-0.01454085</v>
      </c>
      <c r="C287" s="43">
        <f>EXP(B287)-1</f>
        <v/>
      </c>
      <c r="D287" s="57">
        <f>B287*$B$11</f>
        <v/>
      </c>
    </row>
    <row r="288" ht="14" customHeight="1">
      <c r="A288" s="96" t="n">
        <v>274</v>
      </c>
      <c r="B288" s="97" t="n">
        <v>-0.02412654</v>
      </c>
      <c r="C288" s="40">
        <f>EXP(B288)-1</f>
        <v/>
      </c>
      <c r="D288" s="59">
        <f>B288*$B$11</f>
        <v/>
      </c>
    </row>
    <row r="289" ht="14" customHeight="1">
      <c r="A289" s="94" t="n">
        <v>275</v>
      </c>
      <c r="B289" s="95" t="n">
        <v>0.00410025</v>
      </c>
      <c r="C289" s="43">
        <f>EXP(B289)-1</f>
        <v/>
      </c>
      <c r="D289" s="57">
        <f>B289*$B$11</f>
        <v/>
      </c>
    </row>
    <row r="290" ht="14" customHeight="1">
      <c r="A290" s="96" t="n">
        <v>276</v>
      </c>
      <c r="B290" s="97" t="n">
        <v>0.00459065</v>
      </c>
      <c r="C290" s="40">
        <f>EXP(B290)-1</f>
        <v/>
      </c>
      <c r="D290" s="59">
        <f>B290*$B$11</f>
        <v/>
      </c>
    </row>
    <row r="291" ht="14" customHeight="1">
      <c r="A291" s="94" t="n">
        <v>277</v>
      </c>
      <c r="B291" s="95" t="n">
        <v>0.01206592</v>
      </c>
      <c r="C291" s="43">
        <f>EXP(B291)-1</f>
        <v/>
      </c>
      <c r="D291" s="57">
        <f>B291*$B$11</f>
        <v/>
      </c>
    </row>
    <row r="292" ht="14" customHeight="1">
      <c r="A292" s="96" t="n">
        <v>278</v>
      </c>
      <c r="B292" s="97" t="n">
        <v>0.00963955</v>
      </c>
      <c r="C292" s="40">
        <f>EXP(B292)-1</f>
        <v/>
      </c>
      <c r="D292" s="59">
        <f>B292*$B$11</f>
        <v/>
      </c>
    </row>
    <row r="293" ht="14" customHeight="1">
      <c r="A293" s="94" t="n">
        <v>279</v>
      </c>
      <c r="B293" s="95" t="n">
        <v>-0.00213859</v>
      </c>
      <c r="C293" s="43">
        <f>EXP(B293)-1</f>
        <v/>
      </c>
      <c r="D293" s="57">
        <f>B293*$B$11</f>
        <v/>
      </c>
    </row>
    <row r="294" ht="14" customHeight="1">
      <c r="A294" s="96" t="n">
        <v>280</v>
      </c>
      <c r="B294" s="97" t="n">
        <v>0.01634113</v>
      </c>
      <c r="C294" s="40">
        <f>EXP(B294)-1</f>
        <v/>
      </c>
      <c r="D294" s="59">
        <f>B294*$B$11</f>
        <v/>
      </c>
    </row>
    <row r="295" ht="14" customHeight="1">
      <c r="A295" s="94" t="n">
        <v>281</v>
      </c>
      <c r="B295" s="95" t="n">
        <v>-0.0014864</v>
      </c>
      <c r="C295" s="43">
        <f>EXP(B295)-1</f>
        <v/>
      </c>
      <c r="D295" s="57">
        <f>B295*$B$11</f>
        <v/>
      </c>
    </row>
    <row r="296" ht="14" customHeight="1">
      <c r="A296" s="96" t="n">
        <v>282</v>
      </c>
      <c r="B296" s="97" t="n">
        <v>-0.00778004</v>
      </c>
      <c r="C296" s="40">
        <f>EXP(B296)-1</f>
        <v/>
      </c>
      <c r="D296" s="59">
        <f>B296*$B$11</f>
        <v/>
      </c>
    </row>
    <row r="297" ht="14" customHeight="1">
      <c r="A297" s="94" t="n">
        <v>283</v>
      </c>
      <c r="B297" s="95" t="n">
        <v>-0.00609694</v>
      </c>
      <c r="C297" s="43">
        <f>EXP(B297)-1</f>
        <v/>
      </c>
      <c r="D297" s="57">
        <f>B297*$B$11</f>
        <v/>
      </c>
    </row>
    <row r="298" ht="14" customHeight="1">
      <c r="A298" s="96" t="n">
        <v>284</v>
      </c>
      <c r="B298" s="97" t="n">
        <v>-0.00686774</v>
      </c>
      <c r="C298" s="40">
        <f>EXP(B298)-1</f>
        <v/>
      </c>
      <c r="D298" s="59">
        <f>B298*$B$11</f>
        <v/>
      </c>
    </row>
    <row r="299" ht="14" customHeight="1">
      <c r="A299" s="94" t="n">
        <v>285</v>
      </c>
      <c r="B299" s="95" t="n">
        <v>-0.02583884</v>
      </c>
      <c r="C299" s="43">
        <f>EXP(B299)-1</f>
        <v/>
      </c>
      <c r="D299" s="57">
        <f>B299*$B$11</f>
        <v/>
      </c>
    </row>
    <row r="300" ht="14" customHeight="1">
      <c r="A300" s="96" t="n">
        <v>286</v>
      </c>
      <c r="B300" s="97" t="n">
        <v>0.00202591</v>
      </c>
      <c r="C300" s="40">
        <f>EXP(B300)-1</f>
        <v/>
      </c>
      <c r="D300" s="59">
        <f>B300*$B$11</f>
        <v/>
      </c>
    </row>
    <row r="301" ht="14" customHeight="1">
      <c r="A301" s="94" t="n">
        <v>287</v>
      </c>
      <c r="B301" s="95" t="n">
        <v>0.00314863</v>
      </c>
      <c r="C301" s="43">
        <f>EXP(B301)-1</f>
        <v/>
      </c>
      <c r="D301" s="57">
        <f>B301*$B$11</f>
        <v/>
      </c>
    </row>
    <row r="302" ht="14" customHeight="1">
      <c r="A302" s="96" t="n">
        <v>288</v>
      </c>
      <c r="B302" s="97" t="n">
        <v>-0.00419719</v>
      </c>
      <c r="C302" s="40">
        <f>EXP(B302)-1</f>
        <v/>
      </c>
      <c r="D302" s="59">
        <f>B302*$B$11</f>
        <v/>
      </c>
    </row>
    <row r="303" ht="14" customHeight="1">
      <c r="A303" s="94" t="n">
        <v>289</v>
      </c>
      <c r="B303" s="95" t="n">
        <v>-0.008416099999999999</v>
      </c>
      <c r="C303" s="43">
        <f>EXP(B303)-1</f>
        <v/>
      </c>
      <c r="D303" s="57">
        <f>B303*$B$11</f>
        <v/>
      </c>
    </row>
    <row r="304" ht="14" customHeight="1">
      <c r="A304" s="96" t="n">
        <v>290</v>
      </c>
      <c r="B304" s="97" t="n">
        <v>0.00461165</v>
      </c>
      <c r="C304" s="40">
        <f>EXP(B304)-1</f>
        <v/>
      </c>
      <c r="D304" s="59">
        <f>B304*$B$11</f>
        <v/>
      </c>
    </row>
    <row r="305" ht="14" customHeight="1">
      <c r="A305" s="94" t="n">
        <v>291</v>
      </c>
      <c r="B305" s="95" t="n">
        <v>0.02075245</v>
      </c>
      <c r="C305" s="43">
        <f>EXP(B305)-1</f>
        <v/>
      </c>
      <c r="D305" s="57">
        <f>B305*$B$11</f>
        <v/>
      </c>
    </row>
    <row r="306" ht="14" customHeight="1">
      <c r="A306" s="96" t="n">
        <v>292</v>
      </c>
      <c r="B306" s="97" t="n">
        <v>0.00060906</v>
      </c>
      <c r="C306" s="40">
        <f>EXP(B306)-1</f>
        <v/>
      </c>
      <c r="D306" s="59">
        <f>B306*$B$11</f>
        <v/>
      </c>
    </row>
    <row r="307" ht="14" customHeight="1">
      <c r="A307" s="94" t="n">
        <v>293</v>
      </c>
      <c r="B307" s="95" t="n">
        <v>-0.0059416</v>
      </c>
      <c r="C307" s="43">
        <f>EXP(B307)-1</f>
        <v/>
      </c>
      <c r="D307" s="57">
        <f>B307*$B$11</f>
        <v/>
      </c>
    </row>
    <row r="308" ht="14" customHeight="1">
      <c r="A308" s="96" t="n">
        <v>294</v>
      </c>
      <c r="B308" s="97" t="n">
        <v>-0.00694737</v>
      </c>
      <c r="C308" s="40">
        <f>EXP(B308)-1</f>
        <v/>
      </c>
      <c r="D308" s="59">
        <f>B308*$B$11</f>
        <v/>
      </c>
    </row>
    <row r="309" ht="14" customHeight="1">
      <c r="A309" s="94" t="n">
        <v>295</v>
      </c>
      <c r="B309" s="95" t="n">
        <v>-0.00068708</v>
      </c>
      <c r="C309" s="43">
        <f>EXP(B309)-1</f>
        <v/>
      </c>
      <c r="D309" s="57">
        <f>B309*$B$11</f>
        <v/>
      </c>
    </row>
    <row r="310" ht="14" customHeight="1">
      <c r="A310" s="96" t="n">
        <v>296</v>
      </c>
      <c r="B310" s="97" t="n">
        <v>-0.01502719</v>
      </c>
      <c r="C310" s="40">
        <f>EXP(B310)-1</f>
        <v/>
      </c>
      <c r="D310" s="59">
        <f>B310*$B$11</f>
        <v/>
      </c>
    </row>
    <row r="311" ht="14" customHeight="1">
      <c r="A311" s="94" t="n">
        <v>297</v>
      </c>
      <c r="B311" s="95" t="n">
        <v>-0.00135313</v>
      </c>
      <c r="C311" s="43">
        <f>EXP(B311)-1</f>
        <v/>
      </c>
      <c r="D311" s="57">
        <f>B311*$B$11</f>
        <v/>
      </c>
    </row>
    <row r="312" ht="14" customHeight="1">
      <c r="A312" s="96" t="n">
        <v>298</v>
      </c>
      <c r="B312" s="97" t="n">
        <v>0.00088419</v>
      </c>
      <c r="C312" s="40">
        <f>EXP(B312)-1</f>
        <v/>
      </c>
      <c r="D312" s="59">
        <f>B312*$B$11</f>
        <v/>
      </c>
    </row>
    <row r="313" ht="14" customHeight="1">
      <c r="A313" s="94" t="n">
        <v>299</v>
      </c>
      <c r="B313" s="95" t="n">
        <v>0.02228614</v>
      </c>
      <c r="C313" s="43">
        <f>EXP(B313)-1</f>
        <v/>
      </c>
      <c r="D313" s="57">
        <f>B313*$B$11</f>
        <v/>
      </c>
    </row>
    <row r="314" ht="14" customHeight="1">
      <c r="A314" s="96" t="n">
        <v>300</v>
      </c>
      <c r="B314" s="97" t="n">
        <v>0.01147169</v>
      </c>
      <c r="C314" s="40">
        <f>EXP(B314)-1</f>
        <v/>
      </c>
      <c r="D314" s="59">
        <f>B314*$B$11</f>
        <v/>
      </c>
    </row>
    <row r="315" ht="14" customHeight="1">
      <c r="A315" s="94" t="n">
        <v>301</v>
      </c>
      <c r="B315" s="95" t="n">
        <v>0.01255835</v>
      </c>
      <c r="C315" s="43">
        <f>EXP(B315)-1</f>
        <v/>
      </c>
      <c r="D315" s="57">
        <f>B315*$B$11</f>
        <v/>
      </c>
    </row>
    <row r="316" ht="14" customHeight="1">
      <c r="A316" s="96" t="n">
        <v>302</v>
      </c>
      <c r="B316" s="97" t="n">
        <v>-0.00840538</v>
      </c>
      <c r="C316" s="40">
        <f>EXP(B316)-1</f>
        <v/>
      </c>
      <c r="D316" s="59">
        <f>B316*$B$11</f>
        <v/>
      </c>
    </row>
    <row r="317" ht="14" customHeight="1">
      <c r="A317" s="94" t="n">
        <v>303</v>
      </c>
      <c r="B317" s="95" t="n">
        <v>0.00818906</v>
      </c>
      <c r="C317" s="43">
        <f>EXP(B317)-1</f>
        <v/>
      </c>
      <c r="D317" s="57">
        <f>B317*$B$11</f>
        <v/>
      </c>
    </row>
    <row r="318" ht="14" customHeight="1">
      <c r="A318" s="96" t="n">
        <v>304</v>
      </c>
      <c r="B318" s="97" t="n">
        <v>-0.01352259</v>
      </c>
      <c r="C318" s="40">
        <f>EXP(B318)-1</f>
        <v/>
      </c>
      <c r="D318" s="59">
        <f>B318*$B$11</f>
        <v/>
      </c>
    </row>
    <row r="319" ht="14" customHeight="1">
      <c r="A319" s="94" t="n">
        <v>305</v>
      </c>
      <c r="B319" s="95" t="n">
        <v>0.00389353</v>
      </c>
      <c r="C319" s="43">
        <f>EXP(B319)-1</f>
        <v/>
      </c>
      <c r="D319" s="57">
        <f>B319*$B$11</f>
        <v/>
      </c>
    </row>
    <row r="320" ht="14" customHeight="1">
      <c r="A320" s="96" t="n">
        <v>306</v>
      </c>
      <c r="B320" s="97" t="n">
        <v>0.00517485</v>
      </c>
      <c r="C320" s="40">
        <f>EXP(B320)-1</f>
        <v/>
      </c>
      <c r="D320" s="59">
        <f>B320*$B$11</f>
        <v/>
      </c>
    </row>
    <row r="321" ht="14" customHeight="1">
      <c r="A321" s="94" t="n">
        <v>307</v>
      </c>
      <c r="B321" s="95" t="n">
        <v>-0.00904691</v>
      </c>
      <c r="C321" s="43">
        <f>EXP(B321)-1</f>
        <v/>
      </c>
      <c r="D321" s="57">
        <f>B321*$B$11</f>
        <v/>
      </c>
    </row>
    <row r="322" ht="14" customHeight="1">
      <c r="A322" s="96" t="n">
        <v>308</v>
      </c>
      <c r="B322" s="97" t="n">
        <v>0.02414256</v>
      </c>
      <c r="C322" s="40">
        <f>EXP(B322)-1</f>
        <v/>
      </c>
      <c r="D322" s="59">
        <f>B322*$B$11</f>
        <v/>
      </c>
    </row>
    <row r="323" ht="14" customHeight="1">
      <c r="A323" s="94" t="n">
        <v>309</v>
      </c>
      <c r="B323" s="95" t="n">
        <v>0.00695848</v>
      </c>
      <c r="C323" s="43">
        <f>EXP(B323)-1</f>
        <v/>
      </c>
      <c r="D323" s="57">
        <f>B323*$B$11</f>
        <v/>
      </c>
    </row>
    <row r="324" ht="14" customHeight="1">
      <c r="A324" s="96" t="n">
        <v>310</v>
      </c>
      <c r="B324" s="97" t="n">
        <v>-0.02268274</v>
      </c>
      <c r="C324" s="40">
        <f>EXP(B324)-1</f>
        <v/>
      </c>
      <c r="D324" s="59">
        <f>B324*$B$11</f>
        <v/>
      </c>
    </row>
    <row r="325" ht="14" customHeight="1">
      <c r="A325" s="94" t="n">
        <v>311</v>
      </c>
      <c r="B325" s="95" t="n">
        <v>0.00678432</v>
      </c>
      <c r="C325" s="43">
        <f>EXP(B325)-1</f>
        <v/>
      </c>
      <c r="D325" s="57">
        <f>B325*$B$11</f>
        <v/>
      </c>
    </row>
    <row r="326" ht="14" customHeight="1">
      <c r="A326" s="96" t="n">
        <v>312</v>
      </c>
      <c r="B326" s="97" t="n">
        <v>-0.00473894</v>
      </c>
      <c r="C326" s="40">
        <f>EXP(B326)-1</f>
        <v/>
      </c>
      <c r="D326" s="59">
        <f>B326*$B$11</f>
        <v/>
      </c>
    </row>
    <row r="327" ht="14" customHeight="1">
      <c r="A327" s="94" t="n">
        <v>313</v>
      </c>
      <c r="B327" s="95" t="n">
        <v>0.00016651</v>
      </c>
      <c r="C327" s="43">
        <f>EXP(B327)-1</f>
        <v/>
      </c>
      <c r="D327" s="57">
        <f>B327*$B$11</f>
        <v/>
      </c>
    </row>
    <row r="328" ht="14" customHeight="1">
      <c r="A328" s="96" t="n">
        <v>314</v>
      </c>
      <c r="B328" s="97" t="n">
        <v>0.00573918</v>
      </c>
      <c r="C328" s="40">
        <f>EXP(B328)-1</f>
        <v/>
      </c>
      <c r="D328" s="59">
        <f>B328*$B$11</f>
        <v/>
      </c>
    </row>
    <row r="329" ht="14" customHeight="1">
      <c r="A329" s="94" t="n">
        <v>315</v>
      </c>
      <c r="B329" s="95" t="n">
        <v>0.00483639</v>
      </c>
      <c r="C329" s="43">
        <f>EXP(B329)-1</f>
        <v/>
      </c>
      <c r="D329" s="57">
        <f>B329*$B$11</f>
        <v/>
      </c>
    </row>
    <row r="330" ht="14" customHeight="1">
      <c r="A330" s="96" t="n">
        <v>316</v>
      </c>
      <c r="B330" s="97" t="n">
        <v>-0.02431982</v>
      </c>
      <c r="C330" s="40">
        <f>EXP(B330)-1</f>
        <v/>
      </c>
      <c r="D330" s="59">
        <f>B330*$B$11</f>
        <v/>
      </c>
    </row>
    <row r="331" ht="14" customHeight="1">
      <c r="A331" s="94" t="n">
        <v>317</v>
      </c>
      <c r="B331" s="95" t="n">
        <v>-0.01374984</v>
      </c>
      <c r="C331" s="43">
        <f>EXP(B331)-1</f>
        <v/>
      </c>
      <c r="D331" s="57">
        <f>B331*$B$11</f>
        <v/>
      </c>
    </row>
    <row r="332" ht="14" customHeight="1">
      <c r="A332" s="96" t="n">
        <v>318</v>
      </c>
      <c r="B332" s="97" t="n">
        <v>0.009421489999999999</v>
      </c>
      <c r="C332" s="40">
        <f>EXP(B332)-1</f>
        <v/>
      </c>
      <c r="D332" s="59">
        <f>B332*$B$11</f>
        <v/>
      </c>
    </row>
    <row r="333" ht="14" customHeight="1">
      <c r="A333" s="94" t="n">
        <v>319</v>
      </c>
      <c r="B333" s="95" t="n">
        <v>0.01576445</v>
      </c>
      <c r="C333" s="43">
        <f>EXP(B333)-1</f>
        <v/>
      </c>
      <c r="D333" s="57">
        <f>B333*$B$11</f>
        <v/>
      </c>
    </row>
    <row r="334" ht="14" customHeight="1">
      <c r="A334" s="96" t="n">
        <v>320</v>
      </c>
      <c r="B334" s="97" t="n">
        <v>0.02298783</v>
      </c>
      <c r="C334" s="40">
        <f>EXP(B334)-1</f>
        <v/>
      </c>
      <c r="D334" s="59">
        <f>B334*$B$11</f>
        <v/>
      </c>
    </row>
    <row r="335" ht="14" customHeight="1">
      <c r="A335" s="94" t="n">
        <v>321</v>
      </c>
      <c r="B335" s="95" t="n">
        <v>0.02178802</v>
      </c>
      <c r="C335" s="43">
        <f>EXP(B335)-1</f>
        <v/>
      </c>
      <c r="D335" s="57">
        <f>B335*$B$11</f>
        <v/>
      </c>
    </row>
    <row r="336" ht="14" customHeight="1">
      <c r="A336" s="96" t="n">
        <v>322</v>
      </c>
      <c r="B336" s="97" t="n">
        <v>-0.02451644</v>
      </c>
      <c r="C336" s="40">
        <f>EXP(B336)-1</f>
        <v/>
      </c>
      <c r="D336" s="59">
        <f>B336*$B$11</f>
        <v/>
      </c>
    </row>
    <row r="337" ht="14" customHeight="1">
      <c r="A337" s="94" t="n">
        <v>323</v>
      </c>
      <c r="B337" s="95" t="n">
        <v>0.009383789999999999</v>
      </c>
      <c r="C337" s="43">
        <f>EXP(B337)-1</f>
        <v/>
      </c>
      <c r="D337" s="57">
        <f>B337*$B$11</f>
        <v/>
      </c>
    </row>
    <row r="338" ht="14" customHeight="1">
      <c r="A338" s="96" t="n">
        <v>324</v>
      </c>
      <c r="B338" s="97" t="n">
        <v>-0.02284548</v>
      </c>
      <c r="C338" s="40">
        <f>EXP(B338)-1</f>
        <v/>
      </c>
      <c r="D338" s="59">
        <f>B338*$B$11</f>
        <v/>
      </c>
    </row>
    <row r="339" ht="14" customHeight="1">
      <c r="A339" s="94" t="n">
        <v>325</v>
      </c>
      <c r="B339" s="95" t="n">
        <v>0.01951321</v>
      </c>
      <c r="C339" s="43">
        <f>EXP(B339)-1</f>
        <v/>
      </c>
      <c r="D339" s="57">
        <f>B339*$B$11</f>
        <v/>
      </c>
    </row>
    <row r="340" ht="14" customHeight="1">
      <c r="A340" s="96" t="n">
        <v>326</v>
      </c>
      <c r="B340" s="97" t="n">
        <v>0.00319019</v>
      </c>
      <c r="C340" s="40">
        <f>EXP(B340)-1</f>
        <v/>
      </c>
      <c r="D340" s="59">
        <f>B340*$B$11</f>
        <v/>
      </c>
    </row>
    <row r="341" ht="14" customHeight="1">
      <c r="A341" s="94" t="n">
        <v>327</v>
      </c>
      <c r="B341" s="95" t="n">
        <v>-0.01354403</v>
      </c>
      <c r="C341" s="43">
        <f>EXP(B341)-1</f>
        <v/>
      </c>
      <c r="D341" s="57">
        <f>B341*$B$11</f>
        <v/>
      </c>
    </row>
    <row r="342" ht="14" customHeight="1">
      <c r="A342" s="96" t="n">
        <v>328</v>
      </c>
      <c r="B342" s="97" t="n">
        <v>0.02426881</v>
      </c>
      <c r="C342" s="40">
        <f>EXP(B342)-1</f>
        <v/>
      </c>
      <c r="D342" s="59">
        <f>B342*$B$11</f>
        <v/>
      </c>
    </row>
    <row r="343" ht="14" customHeight="1">
      <c r="A343" s="94" t="n">
        <v>329</v>
      </c>
      <c r="B343" s="95" t="n">
        <v>0.00787765</v>
      </c>
      <c r="C343" s="43">
        <f>EXP(B343)-1</f>
        <v/>
      </c>
      <c r="D343" s="57">
        <f>B343*$B$11</f>
        <v/>
      </c>
    </row>
    <row r="344" ht="14" customHeight="1">
      <c r="A344" s="96" t="n">
        <v>330</v>
      </c>
      <c r="B344" s="97" t="n">
        <v>-0.02254379</v>
      </c>
      <c r="C344" s="40">
        <f>EXP(B344)-1</f>
        <v/>
      </c>
      <c r="D344" s="59">
        <f>B344*$B$11</f>
        <v/>
      </c>
    </row>
    <row r="345" ht="14" customHeight="1">
      <c r="A345" s="94" t="n">
        <v>331</v>
      </c>
      <c r="B345" s="95" t="n">
        <v>0.00367162</v>
      </c>
      <c r="C345" s="43">
        <f>EXP(B345)-1</f>
        <v/>
      </c>
      <c r="D345" s="57">
        <f>B345*$B$11</f>
        <v/>
      </c>
    </row>
    <row r="346" ht="14" customHeight="1">
      <c r="A346" s="96" t="n">
        <v>332</v>
      </c>
      <c r="B346" s="97" t="n">
        <v>-0.00862368</v>
      </c>
      <c r="C346" s="40">
        <f>EXP(B346)-1</f>
        <v/>
      </c>
      <c r="D346" s="59">
        <f>B346*$B$11</f>
        <v/>
      </c>
    </row>
    <row r="347" ht="14" customHeight="1">
      <c r="A347" s="94" t="n">
        <v>333</v>
      </c>
      <c r="B347" s="95" t="n">
        <v>0.00148555</v>
      </c>
      <c r="C347" s="43">
        <f>EXP(B347)-1</f>
        <v/>
      </c>
      <c r="D347" s="57">
        <f>B347*$B$11</f>
        <v/>
      </c>
    </row>
    <row r="348" ht="14" customHeight="1">
      <c r="A348" s="96" t="n">
        <v>334</v>
      </c>
      <c r="B348" s="97" t="n">
        <v>-0.00543234</v>
      </c>
      <c r="C348" s="40">
        <f>EXP(B348)-1</f>
        <v/>
      </c>
      <c r="D348" s="59">
        <f>B348*$B$11</f>
        <v/>
      </c>
    </row>
    <row r="349" ht="14" customHeight="1">
      <c r="A349" s="94" t="n">
        <v>335</v>
      </c>
      <c r="B349" s="95" t="n">
        <v>0.01663193</v>
      </c>
      <c r="C349" s="43">
        <f>EXP(B349)-1</f>
        <v/>
      </c>
      <c r="D349" s="57">
        <f>B349*$B$11</f>
        <v/>
      </c>
    </row>
    <row r="350" ht="14" customHeight="1">
      <c r="A350" s="96" t="n">
        <v>336</v>
      </c>
      <c r="B350" s="97" t="n">
        <v>-0.01692944</v>
      </c>
      <c r="C350" s="40">
        <f>EXP(B350)-1</f>
        <v/>
      </c>
      <c r="D350" s="59">
        <f>B350*$B$11</f>
        <v/>
      </c>
    </row>
    <row r="351" ht="14" customHeight="1">
      <c r="A351" s="94" t="n">
        <v>337</v>
      </c>
      <c r="B351" s="95" t="n">
        <v>0.00395886</v>
      </c>
      <c r="C351" s="43">
        <f>EXP(B351)-1</f>
        <v/>
      </c>
      <c r="D351" s="57">
        <f>B351*$B$11</f>
        <v/>
      </c>
    </row>
    <row r="352" ht="14" customHeight="1">
      <c r="A352" s="96" t="n">
        <v>338</v>
      </c>
      <c r="B352" s="97" t="n">
        <v>0.02192026</v>
      </c>
      <c r="C352" s="40">
        <f>EXP(B352)-1</f>
        <v/>
      </c>
      <c r="D352" s="59">
        <f>B352*$B$11</f>
        <v/>
      </c>
    </row>
    <row r="353" ht="14" customHeight="1">
      <c r="A353" s="94" t="n">
        <v>339</v>
      </c>
      <c r="B353" s="95" t="n">
        <v>-0.009773520000000001</v>
      </c>
      <c r="C353" s="43">
        <f>EXP(B353)-1</f>
        <v/>
      </c>
      <c r="D353" s="57">
        <f>B353*$B$11</f>
        <v/>
      </c>
    </row>
    <row r="354" ht="14" customHeight="1">
      <c r="A354" s="96" t="n">
        <v>340</v>
      </c>
      <c r="B354" s="97" t="n">
        <v>0.00267778</v>
      </c>
      <c r="C354" s="40">
        <f>EXP(B354)-1</f>
        <v/>
      </c>
      <c r="D354" s="59">
        <f>B354*$B$11</f>
        <v/>
      </c>
    </row>
    <row r="355" ht="14" customHeight="1">
      <c r="A355" s="94" t="n">
        <v>341</v>
      </c>
      <c r="B355" s="95" t="n">
        <v>0.00257402</v>
      </c>
      <c r="C355" s="43">
        <f>EXP(B355)-1</f>
        <v/>
      </c>
      <c r="D355" s="57">
        <f>B355*$B$11</f>
        <v/>
      </c>
    </row>
    <row r="356" ht="14" customHeight="1">
      <c r="A356" s="96" t="n">
        <v>342</v>
      </c>
      <c r="B356" s="97" t="n">
        <v>-0.00812643</v>
      </c>
      <c r="C356" s="40">
        <f>EXP(B356)-1</f>
        <v/>
      </c>
      <c r="D356" s="59">
        <f>B356*$B$11</f>
        <v/>
      </c>
    </row>
    <row r="357" ht="14" customHeight="1">
      <c r="A357" s="94" t="n">
        <v>343</v>
      </c>
      <c r="B357" s="95" t="n">
        <v>0.00792472</v>
      </c>
      <c r="C357" s="43">
        <f>EXP(B357)-1</f>
        <v/>
      </c>
      <c r="D357" s="57">
        <f>B357*$B$11</f>
        <v/>
      </c>
    </row>
    <row r="358" ht="14" customHeight="1">
      <c r="A358" s="96" t="n">
        <v>344</v>
      </c>
      <c r="B358" s="97" t="n">
        <v>0.0013146</v>
      </c>
      <c r="C358" s="40">
        <f>EXP(B358)-1</f>
        <v/>
      </c>
      <c r="D358" s="59">
        <f>B358*$B$11</f>
        <v/>
      </c>
    </row>
    <row r="359" ht="14" customHeight="1">
      <c r="A359" s="94" t="n">
        <v>345</v>
      </c>
      <c r="B359" s="95" t="n">
        <v>-0.01117521</v>
      </c>
      <c r="C359" s="43">
        <f>EXP(B359)-1</f>
        <v/>
      </c>
      <c r="D359" s="57">
        <f>B359*$B$11</f>
        <v/>
      </c>
    </row>
    <row r="360" ht="14" customHeight="1">
      <c r="A360" s="96" t="n">
        <v>346</v>
      </c>
      <c r="B360" s="97" t="n">
        <v>0.02129419</v>
      </c>
      <c r="C360" s="40">
        <f>EXP(B360)-1</f>
        <v/>
      </c>
      <c r="D360" s="59">
        <f>B360*$B$11</f>
        <v/>
      </c>
    </row>
    <row r="361" ht="14" customHeight="1">
      <c r="A361" s="94" t="n">
        <v>347</v>
      </c>
      <c r="B361" s="95" t="n">
        <v>0.009649380000000001</v>
      </c>
      <c r="C361" s="43">
        <f>EXP(B361)-1</f>
        <v/>
      </c>
      <c r="D361" s="57">
        <f>B361*$B$11</f>
        <v/>
      </c>
    </row>
    <row r="362" ht="14" customHeight="1">
      <c r="A362" s="96" t="n">
        <v>348</v>
      </c>
      <c r="B362" s="97" t="n">
        <v>-0.00185528</v>
      </c>
      <c r="C362" s="40">
        <f>EXP(B362)-1</f>
        <v/>
      </c>
      <c r="D362" s="59">
        <f>B362*$B$11</f>
        <v/>
      </c>
    </row>
    <row r="363" ht="14" customHeight="1">
      <c r="A363" s="94" t="n">
        <v>349</v>
      </c>
      <c r="B363" s="95" t="n">
        <v>-0.0074901</v>
      </c>
      <c r="C363" s="43">
        <f>EXP(B363)-1</f>
        <v/>
      </c>
      <c r="D363" s="57">
        <f>B363*$B$11</f>
        <v/>
      </c>
    </row>
    <row r="364" ht="14" customHeight="1">
      <c r="A364" s="96" t="n">
        <v>350</v>
      </c>
      <c r="B364" s="97" t="n">
        <v>-0.009262350000000001</v>
      </c>
      <c r="C364" s="40">
        <f>EXP(B364)-1</f>
        <v/>
      </c>
      <c r="D364" s="59">
        <f>B364*$B$11</f>
        <v/>
      </c>
    </row>
    <row r="365" ht="14" customHeight="1">
      <c r="A365" s="94" t="n">
        <v>351</v>
      </c>
      <c r="B365" s="95" t="n">
        <v>0.01492129</v>
      </c>
      <c r="C365" s="43">
        <f>EXP(B365)-1</f>
        <v/>
      </c>
      <c r="D365" s="57">
        <f>B365*$B$11</f>
        <v/>
      </c>
    </row>
    <row r="366" ht="14" customHeight="1">
      <c r="A366" s="96" t="n">
        <v>352</v>
      </c>
      <c r="B366" s="97" t="n">
        <v>-0.00160774</v>
      </c>
      <c r="C366" s="40">
        <f>EXP(B366)-1</f>
        <v/>
      </c>
      <c r="D366" s="59">
        <f>B366*$B$11</f>
        <v/>
      </c>
    </row>
    <row r="367" ht="14" customHeight="1">
      <c r="A367" s="94" t="n">
        <v>353</v>
      </c>
      <c r="B367" s="95" t="n">
        <v>0.00566326</v>
      </c>
      <c r="C367" s="43">
        <f>EXP(B367)-1</f>
        <v/>
      </c>
      <c r="D367" s="57">
        <f>B367*$B$11</f>
        <v/>
      </c>
    </row>
    <row r="368" ht="14" customHeight="1">
      <c r="A368" s="96" t="n">
        <v>354</v>
      </c>
      <c r="B368" s="97" t="n">
        <v>-0.00206348</v>
      </c>
      <c r="C368" s="40">
        <f>EXP(B368)-1</f>
        <v/>
      </c>
      <c r="D368" s="59">
        <f>B368*$B$11</f>
        <v/>
      </c>
    </row>
    <row r="369" ht="14" customHeight="1">
      <c r="A369" s="94" t="n">
        <v>355</v>
      </c>
      <c r="B369" s="95" t="n">
        <v>0.00754691</v>
      </c>
      <c r="C369" s="43">
        <f>EXP(B369)-1</f>
        <v/>
      </c>
      <c r="D369" s="57">
        <f>B369*$B$11</f>
        <v/>
      </c>
    </row>
    <row r="370" ht="14" customHeight="1">
      <c r="A370" s="96" t="n">
        <v>356</v>
      </c>
      <c r="B370" s="97" t="n">
        <v>-0.00124175</v>
      </c>
      <c r="C370" s="40">
        <f>EXP(B370)-1</f>
        <v/>
      </c>
      <c r="D370" s="59">
        <f>B370*$B$11</f>
        <v/>
      </c>
    </row>
    <row r="371" ht="14" customHeight="1">
      <c r="A371" s="94" t="n">
        <v>357</v>
      </c>
      <c r="B371" s="95" t="n">
        <v>0.00931625</v>
      </c>
      <c r="C371" s="43">
        <f>EXP(B371)-1</f>
        <v/>
      </c>
      <c r="D371" s="57">
        <f>B371*$B$11</f>
        <v/>
      </c>
    </row>
    <row r="372" ht="14" customHeight="1">
      <c r="A372" s="96" t="n">
        <v>358</v>
      </c>
      <c r="B372" s="97" t="n">
        <v>-0.00204853</v>
      </c>
      <c r="C372" s="40">
        <f>EXP(B372)-1</f>
        <v/>
      </c>
      <c r="D372" s="59">
        <f>B372*$B$11</f>
        <v/>
      </c>
    </row>
    <row r="373" ht="14" customHeight="1">
      <c r="A373" s="94" t="n">
        <v>359</v>
      </c>
      <c r="B373" s="95" t="n">
        <v>0.01010505</v>
      </c>
      <c r="C373" s="43">
        <f>EXP(B373)-1</f>
        <v/>
      </c>
      <c r="D373" s="57">
        <f>B373*$B$11</f>
        <v/>
      </c>
    </row>
    <row r="374" ht="14" customHeight="1">
      <c r="A374" s="96" t="n">
        <v>360</v>
      </c>
      <c r="B374" s="97" t="n">
        <v>0.008218609999999999</v>
      </c>
      <c r="C374" s="40">
        <f>EXP(B374)-1</f>
        <v/>
      </c>
      <c r="D374" s="59">
        <f>B374*$B$11</f>
        <v/>
      </c>
    </row>
    <row r="375" ht="14" customHeight="1">
      <c r="A375" s="94" t="n">
        <v>361</v>
      </c>
      <c r="B375" s="95" t="n">
        <v>-0.00124932</v>
      </c>
      <c r="C375" s="43">
        <f>EXP(B375)-1</f>
        <v/>
      </c>
      <c r="D375" s="57">
        <f>B375*$B$11</f>
        <v/>
      </c>
    </row>
    <row r="376" ht="14" customHeight="1">
      <c r="A376" s="96" t="n">
        <v>362</v>
      </c>
      <c r="B376" s="97" t="n">
        <v>-0.01016733</v>
      </c>
      <c r="C376" s="40">
        <f>EXP(B376)-1</f>
        <v/>
      </c>
      <c r="D376" s="59">
        <f>B376*$B$11</f>
        <v/>
      </c>
    </row>
    <row r="377" ht="14" customHeight="1">
      <c r="A377" s="94" t="n">
        <v>363</v>
      </c>
      <c r="B377" s="95" t="n">
        <v>-0.01113144</v>
      </c>
      <c r="C377" s="43">
        <f>EXP(B377)-1</f>
        <v/>
      </c>
      <c r="D377" s="57">
        <f>B377*$B$11</f>
        <v/>
      </c>
    </row>
    <row r="378" ht="14" customHeight="1">
      <c r="A378" s="96" t="n">
        <v>364</v>
      </c>
      <c r="B378" s="97" t="n">
        <v>-0.008738839999999999</v>
      </c>
      <c r="C378" s="40">
        <f>EXP(B378)-1</f>
        <v/>
      </c>
      <c r="D378" s="59">
        <f>B378*$B$11</f>
        <v/>
      </c>
    </row>
    <row r="379" ht="14" customHeight="1">
      <c r="A379" s="94" t="n">
        <v>365</v>
      </c>
      <c r="B379" s="95" t="n">
        <v>-0.01166385</v>
      </c>
      <c r="C379" s="43">
        <f>EXP(B379)-1</f>
        <v/>
      </c>
      <c r="D379" s="57">
        <f>B379*$B$11</f>
        <v/>
      </c>
    </row>
    <row r="380" ht="14" customHeight="1">
      <c r="A380" s="96" t="n">
        <v>366</v>
      </c>
      <c r="B380" s="97" t="n">
        <v>0.01053956</v>
      </c>
      <c r="C380" s="40">
        <f>EXP(B380)-1</f>
        <v/>
      </c>
      <c r="D380" s="59">
        <f>B380*$B$11</f>
        <v/>
      </c>
    </row>
    <row r="381" ht="14" customHeight="1">
      <c r="A381" s="94" t="n">
        <v>367</v>
      </c>
      <c r="B381" s="95" t="n">
        <v>-0.00040923</v>
      </c>
      <c r="C381" s="43">
        <f>EXP(B381)-1</f>
        <v/>
      </c>
      <c r="D381" s="57">
        <f>B381*$B$11</f>
        <v/>
      </c>
    </row>
    <row r="382" ht="14" customHeight="1">
      <c r="A382" s="96" t="n">
        <v>368</v>
      </c>
      <c r="B382" s="97" t="n">
        <v>0.01899121</v>
      </c>
      <c r="C382" s="40">
        <f>EXP(B382)-1</f>
        <v/>
      </c>
      <c r="D382" s="59">
        <f>B382*$B$11</f>
        <v/>
      </c>
    </row>
    <row r="383" ht="14" customHeight="1">
      <c r="A383" s="94" t="n">
        <v>369</v>
      </c>
      <c r="B383" s="95" t="n">
        <v>0.02750196</v>
      </c>
      <c r="C383" s="43">
        <f>EXP(B383)-1</f>
        <v/>
      </c>
      <c r="D383" s="57">
        <f>B383*$B$11</f>
        <v/>
      </c>
    </row>
    <row r="384" ht="14" customHeight="1">
      <c r="A384" s="96" t="n">
        <v>370</v>
      </c>
      <c r="B384" s="97" t="n">
        <v>0.00044067</v>
      </c>
      <c r="C384" s="40">
        <f>EXP(B384)-1</f>
        <v/>
      </c>
      <c r="D384" s="59">
        <f>B384*$B$11</f>
        <v/>
      </c>
    </row>
    <row r="385" ht="14" customHeight="1">
      <c r="A385" s="94" t="n">
        <v>371</v>
      </c>
      <c r="B385" s="95" t="n">
        <v>-0.01842621</v>
      </c>
      <c r="C385" s="43">
        <f>EXP(B385)-1</f>
        <v/>
      </c>
      <c r="D385" s="57">
        <f>B385*$B$11</f>
        <v/>
      </c>
    </row>
    <row r="386" ht="14" customHeight="1">
      <c r="A386" s="96" t="n">
        <v>372</v>
      </c>
      <c r="B386" s="97" t="n">
        <v>-0.00442744</v>
      </c>
      <c r="C386" s="40">
        <f>EXP(B386)-1</f>
        <v/>
      </c>
      <c r="D386" s="59">
        <f>B386*$B$11</f>
        <v/>
      </c>
    </row>
    <row r="387" ht="14" customHeight="1">
      <c r="A387" s="94" t="n">
        <v>373</v>
      </c>
      <c r="B387" s="95" t="n">
        <v>-0.00075418</v>
      </c>
      <c r="C387" s="43">
        <f>EXP(B387)-1</f>
        <v/>
      </c>
      <c r="D387" s="57">
        <f>B387*$B$11</f>
        <v/>
      </c>
    </row>
    <row r="388" ht="14" customHeight="1">
      <c r="A388" s="96" t="n">
        <v>374</v>
      </c>
      <c r="B388" s="97" t="n">
        <v>-0.01771131</v>
      </c>
      <c r="C388" s="40">
        <f>EXP(B388)-1</f>
        <v/>
      </c>
      <c r="D388" s="59">
        <f>B388*$B$11</f>
        <v/>
      </c>
    </row>
    <row r="389" ht="14" customHeight="1">
      <c r="A389" s="94" t="n">
        <v>375</v>
      </c>
      <c r="B389" s="95" t="n">
        <v>-0.00285592</v>
      </c>
      <c r="C389" s="43">
        <f>EXP(B389)-1</f>
        <v/>
      </c>
      <c r="D389" s="57">
        <f>B389*$B$11</f>
        <v/>
      </c>
    </row>
    <row r="390" ht="14" customHeight="1">
      <c r="A390" s="96" t="n">
        <v>376</v>
      </c>
      <c r="B390" s="97" t="n">
        <v>0.00359336</v>
      </c>
      <c r="C390" s="40">
        <f>EXP(B390)-1</f>
        <v/>
      </c>
      <c r="D390" s="59">
        <f>B390*$B$11</f>
        <v/>
      </c>
    </row>
    <row r="391" ht="14" customHeight="1">
      <c r="A391" s="94" t="n">
        <v>377</v>
      </c>
      <c r="B391" s="95" t="n">
        <v>-0.00536313</v>
      </c>
      <c r="C391" s="43">
        <f>EXP(B391)-1</f>
        <v/>
      </c>
      <c r="D391" s="57">
        <f>B391*$B$11</f>
        <v/>
      </c>
    </row>
    <row r="392" ht="14" customHeight="1">
      <c r="A392" s="96" t="n">
        <v>378</v>
      </c>
      <c r="B392" s="97" t="n">
        <v>-0.00907111</v>
      </c>
      <c r="C392" s="40">
        <f>EXP(B392)-1</f>
        <v/>
      </c>
      <c r="D392" s="59">
        <f>B392*$B$11</f>
        <v/>
      </c>
    </row>
    <row r="393" ht="14" customHeight="1">
      <c r="A393" s="94" t="n">
        <v>379</v>
      </c>
      <c r="B393" s="95" t="n">
        <v>-0.008955080000000001</v>
      </c>
      <c r="C393" s="43">
        <f>EXP(B393)-1</f>
        <v/>
      </c>
      <c r="D393" s="57">
        <f>B393*$B$11</f>
        <v/>
      </c>
    </row>
    <row r="394" ht="14" customHeight="1">
      <c r="A394" s="96" t="n">
        <v>380</v>
      </c>
      <c r="B394" s="97" t="n">
        <v>0.0215902</v>
      </c>
      <c r="C394" s="40">
        <f>EXP(B394)-1</f>
        <v/>
      </c>
      <c r="D394" s="59">
        <f>B394*$B$11</f>
        <v/>
      </c>
    </row>
    <row r="395" ht="14" customHeight="1">
      <c r="A395" s="94" t="n">
        <v>381</v>
      </c>
      <c r="B395" s="95" t="n">
        <v>-0.00176575</v>
      </c>
      <c r="C395" s="43">
        <f>EXP(B395)-1</f>
        <v/>
      </c>
      <c r="D395" s="57">
        <f>B395*$B$11</f>
        <v/>
      </c>
    </row>
    <row r="396" ht="14" customHeight="1">
      <c r="A396" s="96" t="n">
        <v>382</v>
      </c>
      <c r="B396" s="97" t="n">
        <v>-0.009809160000000001</v>
      </c>
      <c r="C396" s="40">
        <f>EXP(B396)-1</f>
        <v/>
      </c>
      <c r="D396" s="59">
        <f>B396*$B$11</f>
        <v/>
      </c>
    </row>
    <row r="397" ht="14" customHeight="1">
      <c r="A397" s="94" t="n">
        <v>383</v>
      </c>
      <c r="B397" s="95" t="n">
        <v>-0.00432478</v>
      </c>
      <c r="C397" s="43">
        <f>EXP(B397)-1</f>
        <v/>
      </c>
      <c r="D397" s="57">
        <f>B397*$B$11</f>
        <v/>
      </c>
    </row>
    <row r="398" ht="14" customHeight="1">
      <c r="A398" s="96" t="n">
        <v>384</v>
      </c>
      <c r="B398" s="97" t="n">
        <v>0.01160212</v>
      </c>
      <c r="C398" s="40">
        <f>EXP(B398)-1</f>
        <v/>
      </c>
      <c r="D398" s="59">
        <f>B398*$B$11</f>
        <v/>
      </c>
    </row>
    <row r="399" ht="14" customHeight="1">
      <c r="A399" s="94" t="n">
        <v>385</v>
      </c>
      <c r="B399" s="95" t="n">
        <v>-0.00806626</v>
      </c>
      <c r="C399" s="43">
        <f>EXP(B399)-1</f>
        <v/>
      </c>
      <c r="D399" s="57">
        <f>B399*$B$11</f>
        <v/>
      </c>
    </row>
    <row r="400" ht="14" customHeight="1">
      <c r="A400" s="96" t="n">
        <v>386</v>
      </c>
      <c r="B400" s="97" t="n">
        <v>0.00593217</v>
      </c>
      <c r="C400" s="40">
        <f>EXP(B400)-1</f>
        <v/>
      </c>
      <c r="D400" s="59">
        <f>B400*$B$11</f>
        <v/>
      </c>
    </row>
    <row r="401" ht="14" customHeight="1">
      <c r="A401" s="94" t="n">
        <v>387</v>
      </c>
      <c r="B401" s="95" t="n">
        <v>0.008884619999999999</v>
      </c>
      <c r="C401" s="43">
        <f>EXP(B401)-1</f>
        <v/>
      </c>
      <c r="D401" s="57">
        <f>B401*$B$11</f>
        <v/>
      </c>
    </row>
    <row r="402" ht="14" customHeight="1">
      <c r="A402" s="96" t="n">
        <v>388</v>
      </c>
      <c r="B402" s="97" t="n">
        <v>0.009139410000000001</v>
      </c>
      <c r="C402" s="40">
        <f>EXP(B402)-1</f>
        <v/>
      </c>
      <c r="D402" s="59">
        <f>B402*$B$11</f>
        <v/>
      </c>
    </row>
    <row r="403" ht="14" customHeight="1">
      <c r="A403" s="94" t="n">
        <v>389</v>
      </c>
      <c r="B403" s="95" t="n">
        <v>0.01694634</v>
      </c>
      <c r="C403" s="43">
        <f>EXP(B403)-1</f>
        <v/>
      </c>
      <c r="D403" s="57">
        <f>B403*$B$11</f>
        <v/>
      </c>
    </row>
    <row r="404" ht="14" customHeight="1">
      <c r="A404" s="96" t="n">
        <v>390</v>
      </c>
      <c r="B404" s="97" t="n">
        <v>-0.00645578</v>
      </c>
      <c r="C404" s="40">
        <f>EXP(B404)-1</f>
        <v/>
      </c>
      <c r="D404" s="59">
        <f>B404*$B$11</f>
        <v/>
      </c>
    </row>
    <row r="405" ht="14" customHeight="1">
      <c r="A405" s="94" t="n">
        <v>391</v>
      </c>
      <c r="B405" s="95" t="n">
        <v>0.01374279</v>
      </c>
      <c r="C405" s="43">
        <f>EXP(B405)-1</f>
        <v/>
      </c>
      <c r="D405" s="57">
        <f>B405*$B$11</f>
        <v/>
      </c>
    </row>
    <row r="406" ht="14" customHeight="1">
      <c r="A406" s="96" t="n">
        <v>392</v>
      </c>
      <c r="B406" s="97" t="n">
        <v>-0.009364239999999999</v>
      </c>
      <c r="C406" s="40">
        <f>EXP(B406)-1</f>
        <v/>
      </c>
      <c r="D406" s="59">
        <f>B406*$B$11</f>
        <v/>
      </c>
    </row>
    <row r="407" ht="14" customHeight="1">
      <c r="A407" s="94" t="n">
        <v>393</v>
      </c>
      <c r="B407" s="95" t="n">
        <v>-0.00460848</v>
      </c>
      <c r="C407" s="43">
        <f>EXP(B407)-1</f>
        <v/>
      </c>
      <c r="D407" s="57">
        <f>B407*$B$11</f>
        <v/>
      </c>
    </row>
    <row r="408" ht="14" customHeight="1">
      <c r="A408" s="96" t="n">
        <v>394</v>
      </c>
      <c r="B408" s="97" t="n">
        <v>0.01450305</v>
      </c>
      <c r="C408" s="40">
        <f>EXP(B408)-1</f>
        <v/>
      </c>
      <c r="D408" s="59">
        <f>B408*$B$11</f>
        <v/>
      </c>
    </row>
    <row r="409" ht="14" customHeight="1">
      <c r="A409" s="94" t="n">
        <v>395</v>
      </c>
      <c r="B409" s="95" t="n">
        <v>0.0100185</v>
      </c>
      <c r="C409" s="43">
        <f>EXP(B409)-1</f>
        <v/>
      </c>
      <c r="D409" s="57">
        <f>B409*$B$11</f>
        <v/>
      </c>
    </row>
    <row r="410" ht="14" customHeight="1">
      <c r="A410" s="96" t="n">
        <v>396</v>
      </c>
      <c r="B410" s="97" t="n">
        <v>0.00017517</v>
      </c>
      <c r="C410" s="40">
        <f>EXP(B410)-1</f>
        <v/>
      </c>
      <c r="D410" s="59">
        <f>B410*$B$11</f>
        <v/>
      </c>
    </row>
    <row r="411" ht="14" customHeight="1">
      <c r="A411" s="94" t="n">
        <v>397</v>
      </c>
      <c r="B411" s="95" t="n">
        <v>-0.01414697</v>
      </c>
      <c r="C411" s="43">
        <f>EXP(B411)-1</f>
        <v/>
      </c>
      <c r="D411" s="57">
        <f>B411*$B$11</f>
        <v/>
      </c>
    </row>
    <row r="412" ht="14" customHeight="1">
      <c r="A412" s="96" t="n">
        <v>398</v>
      </c>
      <c r="B412" s="97" t="n">
        <v>0.00688992</v>
      </c>
      <c r="C412" s="40">
        <f>EXP(B412)-1</f>
        <v/>
      </c>
      <c r="D412" s="59">
        <f>B412*$B$11</f>
        <v/>
      </c>
    </row>
    <row r="413" ht="14" customHeight="1">
      <c r="A413" s="94" t="n">
        <v>399</v>
      </c>
      <c r="B413" s="95" t="n">
        <v>-0.00741447</v>
      </c>
      <c r="C413" s="43">
        <f>EXP(B413)-1</f>
        <v/>
      </c>
      <c r="D413" s="57">
        <f>B413*$B$11</f>
        <v/>
      </c>
    </row>
    <row r="414" ht="14" customHeight="1">
      <c r="A414" s="96" t="n">
        <v>400</v>
      </c>
      <c r="B414" s="97" t="n">
        <v>-0.01093662</v>
      </c>
      <c r="C414" s="40">
        <f>EXP(B414)-1</f>
        <v/>
      </c>
      <c r="D414" s="59">
        <f>B414*$B$11</f>
        <v/>
      </c>
    </row>
    <row r="415" ht="14" customHeight="1">
      <c r="A415" s="94" t="n">
        <v>401</v>
      </c>
      <c r="B415" s="95" t="n">
        <v>-0.00762761</v>
      </c>
      <c r="C415" s="43">
        <f>EXP(B415)-1</f>
        <v/>
      </c>
      <c r="D415" s="57">
        <f>B415*$B$11</f>
        <v/>
      </c>
    </row>
    <row r="416" ht="14" customHeight="1">
      <c r="A416" s="96" t="n">
        <v>402</v>
      </c>
      <c r="B416" s="97" t="n">
        <v>0.00310793</v>
      </c>
      <c r="C416" s="40">
        <f>EXP(B416)-1</f>
        <v/>
      </c>
      <c r="D416" s="59">
        <f>B416*$B$11</f>
        <v/>
      </c>
    </row>
    <row r="417" ht="14" customHeight="1">
      <c r="A417" s="94" t="n">
        <v>403</v>
      </c>
      <c r="B417" s="95" t="n">
        <v>-0.02530239</v>
      </c>
      <c r="C417" s="43">
        <f>EXP(B417)-1</f>
        <v/>
      </c>
      <c r="D417" s="57">
        <f>B417*$B$11</f>
        <v/>
      </c>
    </row>
    <row r="418" ht="14" customHeight="1">
      <c r="A418" s="96" t="n">
        <v>404</v>
      </c>
      <c r="B418" s="97" t="n">
        <v>0.00447916</v>
      </c>
      <c r="C418" s="40">
        <f>EXP(B418)-1</f>
        <v/>
      </c>
      <c r="D418" s="59">
        <f>B418*$B$11</f>
        <v/>
      </c>
    </row>
    <row r="419" ht="14" customHeight="1">
      <c r="A419" s="94" t="n">
        <v>405</v>
      </c>
      <c r="B419" s="95" t="n">
        <v>0.00223692</v>
      </c>
      <c r="C419" s="43">
        <f>EXP(B419)-1</f>
        <v/>
      </c>
      <c r="D419" s="57">
        <f>B419*$B$11</f>
        <v/>
      </c>
    </row>
    <row r="420" ht="14" customHeight="1">
      <c r="A420" s="96" t="n">
        <v>406</v>
      </c>
      <c r="B420" s="97" t="n">
        <v>-0.00686432</v>
      </c>
      <c r="C420" s="40">
        <f>EXP(B420)-1</f>
        <v/>
      </c>
      <c r="D420" s="59">
        <f>B420*$B$11</f>
        <v/>
      </c>
    </row>
    <row r="421" ht="14" customHeight="1">
      <c r="A421" s="94" t="n">
        <v>407</v>
      </c>
      <c r="B421" s="95" t="n">
        <v>0.01259313</v>
      </c>
      <c r="C421" s="43">
        <f>EXP(B421)-1</f>
        <v/>
      </c>
      <c r="D421" s="57">
        <f>B421*$B$11</f>
        <v/>
      </c>
    </row>
    <row r="422" ht="14" customHeight="1">
      <c r="A422" s="96" t="n">
        <v>408</v>
      </c>
      <c r="B422" s="97" t="n">
        <v>0.00748729</v>
      </c>
      <c r="C422" s="40">
        <f>EXP(B422)-1</f>
        <v/>
      </c>
      <c r="D422" s="59">
        <f>B422*$B$11</f>
        <v/>
      </c>
    </row>
    <row r="423" ht="14" customHeight="1">
      <c r="A423" s="94" t="n">
        <v>409</v>
      </c>
      <c r="B423" s="95" t="n">
        <v>-0.00712541</v>
      </c>
      <c r="C423" s="43">
        <f>EXP(B423)-1</f>
        <v/>
      </c>
      <c r="D423" s="57">
        <f>B423*$B$11</f>
        <v/>
      </c>
    </row>
    <row r="424" ht="14" customHeight="1">
      <c r="A424" s="96" t="n">
        <v>410</v>
      </c>
      <c r="B424" s="97" t="n">
        <v>-0.0078902</v>
      </c>
      <c r="C424" s="40">
        <f>EXP(B424)-1</f>
        <v/>
      </c>
      <c r="D424" s="59">
        <f>B424*$B$11</f>
        <v/>
      </c>
    </row>
    <row r="425" ht="14" customHeight="1">
      <c r="A425" s="94" t="n">
        <v>411</v>
      </c>
      <c r="B425" s="95" t="n">
        <v>0.008491820000000001</v>
      </c>
      <c r="C425" s="43">
        <f>EXP(B425)-1</f>
        <v/>
      </c>
      <c r="D425" s="57">
        <f>B425*$B$11</f>
        <v/>
      </c>
    </row>
    <row r="426" ht="14" customHeight="1">
      <c r="A426" s="96" t="n">
        <v>412</v>
      </c>
      <c r="B426" s="97" t="n">
        <v>-0.01804288</v>
      </c>
      <c r="C426" s="40">
        <f>EXP(B426)-1</f>
        <v/>
      </c>
      <c r="D426" s="59">
        <f>B426*$B$11</f>
        <v/>
      </c>
    </row>
    <row r="427" ht="14" customHeight="1">
      <c r="A427" s="94" t="n">
        <v>413</v>
      </c>
      <c r="B427" s="95" t="n">
        <v>-0.00384147</v>
      </c>
      <c r="C427" s="43">
        <f>EXP(B427)-1</f>
        <v/>
      </c>
      <c r="D427" s="57">
        <f>B427*$B$11</f>
        <v/>
      </c>
    </row>
    <row r="428" ht="14" customHeight="1">
      <c r="A428" s="96" t="n">
        <v>414</v>
      </c>
      <c r="B428" s="97" t="n">
        <v>-0.00742256</v>
      </c>
      <c r="C428" s="40">
        <f>EXP(B428)-1</f>
        <v/>
      </c>
      <c r="D428" s="59">
        <f>B428*$B$11</f>
        <v/>
      </c>
    </row>
    <row r="429" ht="14" customHeight="1">
      <c r="A429" s="94" t="n">
        <v>415</v>
      </c>
      <c r="B429" s="95" t="n">
        <v>0.0009885300000000001</v>
      </c>
      <c r="C429" s="43">
        <f>EXP(B429)-1</f>
        <v/>
      </c>
      <c r="D429" s="57">
        <f>B429*$B$11</f>
        <v/>
      </c>
    </row>
    <row r="430" ht="14" customHeight="1">
      <c r="A430" s="96" t="n">
        <v>416</v>
      </c>
      <c r="B430" s="97" t="n">
        <v>0.00268352</v>
      </c>
      <c r="C430" s="40">
        <f>EXP(B430)-1</f>
        <v/>
      </c>
      <c r="D430" s="59">
        <f>B430*$B$11</f>
        <v/>
      </c>
    </row>
    <row r="431" ht="14" customHeight="1">
      <c r="A431" s="94" t="n">
        <v>417</v>
      </c>
      <c r="B431" s="95" t="n">
        <v>0.00059145</v>
      </c>
      <c r="C431" s="43">
        <f>EXP(B431)-1</f>
        <v/>
      </c>
      <c r="D431" s="57">
        <f>B431*$B$11</f>
        <v/>
      </c>
    </row>
    <row r="432" ht="14" customHeight="1">
      <c r="A432" s="96" t="n">
        <v>418</v>
      </c>
      <c r="B432" s="97" t="n">
        <v>0.01376818</v>
      </c>
      <c r="C432" s="40">
        <f>EXP(B432)-1</f>
        <v/>
      </c>
      <c r="D432" s="59">
        <f>B432*$B$11</f>
        <v/>
      </c>
    </row>
    <row r="433" ht="14" customHeight="1">
      <c r="A433" s="94" t="n">
        <v>419</v>
      </c>
      <c r="B433" s="95" t="n">
        <v>0.00288676</v>
      </c>
      <c r="C433" s="43">
        <f>EXP(B433)-1</f>
        <v/>
      </c>
      <c r="D433" s="57">
        <f>B433*$B$11</f>
        <v/>
      </c>
    </row>
    <row r="434" ht="14" customHeight="1">
      <c r="A434" s="96" t="n">
        <v>420</v>
      </c>
      <c r="B434" s="97" t="n">
        <v>-0.00362991</v>
      </c>
      <c r="C434" s="40">
        <f>EXP(B434)-1</f>
        <v/>
      </c>
      <c r="D434" s="59">
        <f>B434*$B$11</f>
        <v/>
      </c>
    </row>
    <row r="435" ht="14" customHeight="1">
      <c r="A435" s="94" t="n">
        <v>421</v>
      </c>
      <c r="B435" s="95" t="n">
        <v>-0.01438026</v>
      </c>
      <c r="C435" s="43">
        <f>EXP(B435)-1</f>
        <v/>
      </c>
      <c r="D435" s="57">
        <f>B435*$B$11</f>
        <v/>
      </c>
    </row>
    <row r="436" ht="14" customHeight="1">
      <c r="A436" s="96" t="n">
        <v>422</v>
      </c>
      <c r="B436" s="97" t="n">
        <v>0.008812199999999999</v>
      </c>
      <c r="C436" s="40">
        <f>EXP(B436)-1</f>
        <v/>
      </c>
      <c r="D436" s="59">
        <f>B436*$B$11</f>
        <v/>
      </c>
    </row>
    <row r="437" ht="14" customHeight="1">
      <c r="A437" s="94" t="n">
        <v>423</v>
      </c>
      <c r="B437" s="95" t="n">
        <v>0.00648776</v>
      </c>
      <c r="C437" s="43">
        <f>EXP(B437)-1</f>
        <v/>
      </c>
      <c r="D437" s="57">
        <f>B437*$B$11</f>
        <v/>
      </c>
    </row>
    <row r="438" ht="14" customHeight="1">
      <c r="A438" s="96" t="n">
        <v>424</v>
      </c>
      <c r="B438" s="97" t="n">
        <v>0.01755971</v>
      </c>
      <c r="C438" s="40">
        <f>EXP(B438)-1</f>
        <v/>
      </c>
      <c r="D438" s="59">
        <f>B438*$B$11</f>
        <v/>
      </c>
    </row>
    <row r="439" ht="14" customHeight="1">
      <c r="A439" s="94" t="n">
        <v>425</v>
      </c>
      <c r="B439" s="95" t="n">
        <v>-0.008819459999999999</v>
      </c>
      <c r="C439" s="43">
        <f>EXP(B439)-1</f>
        <v/>
      </c>
      <c r="D439" s="57">
        <f>B439*$B$11</f>
        <v/>
      </c>
    </row>
    <row r="440" ht="14" customHeight="1">
      <c r="A440" s="96" t="n">
        <v>426</v>
      </c>
      <c r="B440" s="97" t="n">
        <v>0.00046702</v>
      </c>
      <c r="C440" s="40">
        <f>EXP(B440)-1</f>
        <v/>
      </c>
      <c r="D440" s="59">
        <f>B440*$B$11</f>
        <v/>
      </c>
    </row>
    <row r="441" ht="14" customHeight="1">
      <c r="A441" s="94" t="n">
        <v>427</v>
      </c>
      <c r="B441" s="95" t="n">
        <v>-0.00055431</v>
      </c>
      <c r="C441" s="43">
        <f>EXP(B441)-1</f>
        <v/>
      </c>
      <c r="D441" s="57">
        <f>B441*$B$11</f>
        <v/>
      </c>
    </row>
    <row r="442" ht="14" customHeight="1">
      <c r="A442" s="96" t="n">
        <v>428</v>
      </c>
      <c r="B442" s="97" t="n">
        <v>-0.00090133</v>
      </c>
      <c r="C442" s="40">
        <f>EXP(B442)-1</f>
        <v/>
      </c>
      <c r="D442" s="59">
        <f>B442*$B$11</f>
        <v/>
      </c>
    </row>
    <row r="443" ht="14" customHeight="1">
      <c r="A443" s="94" t="n">
        <v>429</v>
      </c>
      <c r="B443" s="95" t="n">
        <v>0.00027468</v>
      </c>
      <c r="C443" s="43">
        <f>EXP(B443)-1</f>
        <v/>
      </c>
      <c r="D443" s="57">
        <f>B443*$B$11</f>
        <v/>
      </c>
    </row>
    <row r="444" ht="14" customHeight="1">
      <c r="A444" s="96" t="n">
        <v>430</v>
      </c>
      <c r="B444" s="97" t="n">
        <v>-0.02042447</v>
      </c>
      <c r="C444" s="40">
        <f>EXP(B444)-1</f>
        <v/>
      </c>
      <c r="D444" s="59">
        <f>B444*$B$11</f>
        <v/>
      </c>
    </row>
    <row r="445" ht="14" customHeight="1">
      <c r="A445" s="94" t="n">
        <v>431</v>
      </c>
      <c r="B445" s="95" t="n">
        <v>0.01004983</v>
      </c>
      <c r="C445" s="43">
        <f>EXP(B445)-1</f>
        <v/>
      </c>
      <c r="D445" s="57">
        <f>B445*$B$11</f>
        <v/>
      </c>
    </row>
    <row r="446" ht="14" customHeight="1">
      <c r="A446" s="96" t="n">
        <v>432</v>
      </c>
      <c r="B446" s="97" t="n">
        <v>0.007988469999999999</v>
      </c>
      <c r="C446" s="40">
        <f>EXP(B446)-1</f>
        <v/>
      </c>
      <c r="D446" s="59">
        <f>B446*$B$11</f>
        <v/>
      </c>
    </row>
    <row r="447" ht="14" customHeight="1">
      <c r="A447" s="94" t="n">
        <v>433</v>
      </c>
      <c r="B447" s="95" t="n">
        <v>0.01371568</v>
      </c>
      <c r="C447" s="43">
        <f>EXP(B447)-1</f>
        <v/>
      </c>
      <c r="D447" s="57">
        <f>B447*$B$11</f>
        <v/>
      </c>
    </row>
    <row r="448" ht="14" customHeight="1">
      <c r="A448" s="96" t="n">
        <v>434</v>
      </c>
      <c r="B448" s="97" t="n">
        <v>0.02714489</v>
      </c>
      <c r="C448" s="40">
        <f>EXP(B448)-1</f>
        <v/>
      </c>
      <c r="D448" s="59">
        <f>B448*$B$11</f>
        <v/>
      </c>
    </row>
    <row r="449" ht="14" customHeight="1">
      <c r="A449" s="94" t="n">
        <v>435</v>
      </c>
      <c r="B449" s="95" t="n">
        <v>-0.00367761</v>
      </c>
      <c r="C449" s="43">
        <f>EXP(B449)-1</f>
        <v/>
      </c>
      <c r="D449" s="57">
        <f>B449*$B$11</f>
        <v/>
      </c>
    </row>
    <row r="450" ht="14" customHeight="1">
      <c r="A450" s="96" t="n">
        <v>436</v>
      </c>
      <c r="B450" s="97" t="n">
        <v>-0.00028372</v>
      </c>
      <c r="C450" s="40">
        <f>EXP(B450)-1</f>
        <v/>
      </c>
      <c r="D450" s="59">
        <f>B450*$B$11</f>
        <v/>
      </c>
    </row>
    <row r="451" ht="14" customHeight="1">
      <c r="A451" s="94" t="n">
        <v>437</v>
      </c>
      <c r="B451" s="95" t="n">
        <v>0.0002674</v>
      </c>
      <c r="C451" s="43">
        <f>EXP(B451)-1</f>
        <v/>
      </c>
      <c r="D451" s="57">
        <f>B451*$B$11</f>
        <v/>
      </c>
    </row>
    <row r="452" ht="14" customHeight="1">
      <c r="A452" s="96" t="n">
        <v>438</v>
      </c>
      <c r="B452" s="97" t="n">
        <v>0.02345623</v>
      </c>
      <c r="C452" s="40">
        <f>EXP(B452)-1</f>
        <v/>
      </c>
      <c r="D452" s="59">
        <f>B452*$B$11</f>
        <v/>
      </c>
    </row>
    <row r="453" ht="14" customHeight="1">
      <c r="A453" s="94" t="n">
        <v>439</v>
      </c>
      <c r="B453" s="95" t="n">
        <v>-0.02062464</v>
      </c>
      <c r="C453" s="43">
        <f>EXP(B453)-1</f>
        <v/>
      </c>
      <c r="D453" s="57">
        <f>B453*$B$11</f>
        <v/>
      </c>
    </row>
    <row r="454" ht="14" customHeight="1">
      <c r="A454" s="96" t="n">
        <v>440</v>
      </c>
      <c r="B454" s="97" t="n">
        <v>0.00597922</v>
      </c>
      <c r="C454" s="40">
        <f>EXP(B454)-1</f>
        <v/>
      </c>
      <c r="D454" s="59">
        <f>B454*$B$11</f>
        <v/>
      </c>
    </row>
    <row r="455" ht="14" customHeight="1">
      <c r="A455" s="94" t="n">
        <v>441</v>
      </c>
      <c r="B455" s="95" t="n">
        <v>-0.01749998</v>
      </c>
      <c r="C455" s="43">
        <f>EXP(B455)-1</f>
        <v/>
      </c>
      <c r="D455" s="57">
        <f>B455*$B$11</f>
        <v/>
      </c>
    </row>
    <row r="456" ht="14" customHeight="1">
      <c r="A456" s="96" t="n">
        <v>442</v>
      </c>
      <c r="B456" s="97" t="n">
        <v>-0.03082885</v>
      </c>
      <c r="C456" s="40">
        <f>EXP(B456)-1</f>
        <v/>
      </c>
      <c r="D456" s="59">
        <f>B456*$B$11</f>
        <v/>
      </c>
    </row>
    <row r="457" ht="14" customHeight="1">
      <c r="A457" s="94" t="n">
        <v>443</v>
      </c>
      <c r="B457" s="95" t="n">
        <v>-0.02409999</v>
      </c>
      <c r="C457" s="43">
        <f>EXP(B457)-1</f>
        <v/>
      </c>
      <c r="D457" s="57">
        <f>B457*$B$11</f>
        <v/>
      </c>
    </row>
    <row r="458" ht="14" customHeight="1">
      <c r="A458" s="96" t="n">
        <v>444</v>
      </c>
      <c r="B458" s="97" t="n">
        <v>-0.01643122</v>
      </c>
      <c r="C458" s="40">
        <f>EXP(B458)-1</f>
        <v/>
      </c>
      <c r="D458" s="59">
        <f>B458*$B$11</f>
        <v/>
      </c>
    </row>
    <row r="459" ht="14" customHeight="1">
      <c r="A459" s="94" t="n">
        <v>445</v>
      </c>
      <c r="B459" s="95" t="n">
        <v>0.01297831</v>
      </c>
      <c r="C459" s="43">
        <f>EXP(B459)-1</f>
        <v/>
      </c>
      <c r="D459" s="57">
        <f>B459*$B$11</f>
        <v/>
      </c>
    </row>
    <row r="460" ht="14" customHeight="1">
      <c r="A460" s="96" t="n">
        <v>446</v>
      </c>
      <c r="B460" s="97" t="n">
        <v>-0.01027032</v>
      </c>
      <c r="C460" s="40">
        <f>EXP(B460)-1</f>
        <v/>
      </c>
      <c r="D460" s="59">
        <f>B460*$B$11</f>
        <v/>
      </c>
    </row>
    <row r="461" ht="14" customHeight="1">
      <c r="A461" s="94" t="n">
        <v>447</v>
      </c>
      <c r="B461" s="95" t="n">
        <v>-0.00257949</v>
      </c>
      <c r="C461" s="43">
        <f>EXP(B461)-1</f>
        <v/>
      </c>
      <c r="D461" s="57">
        <f>B461*$B$11</f>
        <v/>
      </c>
    </row>
    <row r="462" ht="14" customHeight="1">
      <c r="A462" s="96" t="n">
        <v>448</v>
      </c>
      <c r="B462" s="97" t="n">
        <v>-0.01381215</v>
      </c>
      <c r="C462" s="40">
        <f>EXP(B462)-1</f>
        <v/>
      </c>
      <c r="D462" s="59">
        <f>B462*$B$11</f>
        <v/>
      </c>
    </row>
    <row r="463" ht="14" customHeight="1">
      <c r="A463" s="94" t="n">
        <v>449</v>
      </c>
      <c r="B463" s="95" t="n">
        <v>0.00748141</v>
      </c>
      <c r="C463" s="43">
        <f>EXP(B463)-1</f>
        <v/>
      </c>
      <c r="D463" s="57">
        <f>B463*$B$11</f>
        <v/>
      </c>
    </row>
    <row r="464" ht="14" customHeight="1">
      <c r="A464" s="96" t="n">
        <v>450</v>
      </c>
      <c r="B464" s="97" t="n">
        <v>-0.01307354</v>
      </c>
      <c r="C464" s="40">
        <f>EXP(B464)-1</f>
        <v/>
      </c>
      <c r="D464" s="59">
        <f>B464*$B$11</f>
        <v/>
      </c>
    </row>
    <row r="465" ht="14" customHeight="1">
      <c r="A465" s="94" t="n">
        <v>451</v>
      </c>
      <c r="B465" s="95" t="n">
        <v>0.01596183</v>
      </c>
      <c r="C465" s="43">
        <f>EXP(B465)-1</f>
        <v/>
      </c>
      <c r="D465" s="57">
        <f>B465*$B$11</f>
        <v/>
      </c>
    </row>
    <row r="466" ht="14" customHeight="1">
      <c r="A466" s="96" t="n">
        <v>452</v>
      </c>
      <c r="B466" s="97" t="n">
        <v>-0.01176726</v>
      </c>
      <c r="C466" s="40">
        <f>EXP(B466)-1</f>
        <v/>
      </c>
      <c r="D466" s="59">
        <f>B466*$B$11</f>
        <v/>
      </c>
    </row>
    <row r="467" ht="14" customHeight="1">
      <c r="A467" s="94" t="n">
        <v>453</v>
      </c>
      <c r="B467" s="95" t="n">
        <v>-0.00902793</v>
      </c>
      <c r="C467" s="43">
        <f>EXP(B467)-1</f>
        <v/>
      </c>
      <c r="D467" s="57">
        <f>B467*$B$11</f>
        <v/>
      </c>
    </row>
    <row r="468" ht="14" customHeight="1">
      <c r="A468" s="96" t="n">
        <v>454</v>
      </c>
      <c r="B468" s="97" t="n">
        <v>0.00162289</v>
      </c>
      <c r="C468" s="40">
        <f>EXP(B468)-1</f>
        <v/>
      </c>
      <c r="D468" s="59">
        <f>B468*$B$11</f>
        <v/>
      </c>
    </row>
    <row r="469" ht="14" customHeight="1">
      <c r="A469" s="94" t="n">
        <v>455</v>
      </c>
      <c r="B469" s="95" t="n">
        <v>0.00044653</v>
      </c>
      <c r="C469" s="43">
        <f>EXP(B469)-1</f>
        <v/>
      </c>
      <c r="D469" s="57">
        <f>B469*$B$11</f>
        <v/>
      </c>
    </row>
    <row r="470" ht="14" customHeight="1">
      <c r="A470" s="96" t="n">
        <v>456</v>
      </c>
      <c r="B470" s="97" t="n">
        <v>0.01724628</v>
      </c>
      <c r="C470" s="40">
        <f>EXP(B470)-1</f>
        <v/>
      </c>
      <c r="D470" s="59">
        <f>B470*$B$11</f>
        <v/>
      </c>
    </row>
    <row r="471" ht="14" customHeight="1">
      <c r="A471" s="94" t="n">
        <v>457</v>
      </c>
      <c r="B471" s="95" t="n">
        <v>0.00159489</v>
      </c>
      <c r="C471" s="43">
        <f>EXP(B471)-1</f>
        <v/>
      </c>
      <c r="D471" s="57">
        <f>B471*$B$11</f>
        <v/>
      </c>
    </row>
    <row r="472" ht="14" customHeight="1">
      <c r="A472" s="96" t="n">
        <v>458</v>
      </c>
      <c r="B472" s="97" t="n">
        <v>-0.01434401</v>
      </c>
      <c r="C472" s="40">
        <f>EXP(B472)-1</f>
        <v/>
      </c>
      <c r="D472" s="59">
        <f>B472*$B$11</f>
        <v/>
      </c>
    </row>
    <row r="473" ht="14" customHeight="1">
      <c r="A473" s="94" t="n">
        <v>459</v>
      </c>
      <c r="B473" s="95" t="n">
        <v>-0.00657402</v>
      </c>
      <c r="C473" s="43">
        <f>EXP(B473)-1</f>
        <v/>
      </c>
      <c r="D473" s="57">
        <f>B473*$B$11</f>
        <v/>
      </c>
    </row>
    <row r="474" ht="14" customHeight="1">
      <c r="A474" s="96" t="n">
        <v>460</v>
      </c>
      <c r="B474" s="97" t="n">
        <v>-0.00672341</v>
      </c>
      <c r="C474" s="40">
        <f>EXP(B474)-1</f>
        <v/>
      </c>
      <c r="D474" s="59">
        <f>B474*$B$11</f>
        <v/>
      </c>
    </row>
    <row r="475" ht="14" customHeight="1">
      <c r="A475" s="94" t="n">
        <v>461</v>
      </c>
      <c r="B475" s="95" t="n">
        <v>0.008850510000000001</v>
      </c>
      <c r="C475" s="43">
        <f>EXP(B475)-1</f>
        <v/>
      </c>
      <c r="D475" s="57">
        <f>B475*$B$11</f>
        <v/>
      </c>
    </row>
    <row r="476" ht="14" customHeight="1">
      <c r="A476" s="96" t="n">
        <v>462</v>
      </c>
      <c r="B476" s="97" t="n">
        <v>0.00475552</v>
      </c>
      <c r="C476" s="40">
        <f>EXP(B476)-1</f>
        <v/>
      </c>
      <c r="D476" s="59">
        <f>B476*$B$11</f>
        <v/>
      </c>
    </row>
    <row r="477" ht="14" customHeight="1">
      <c r="A477" s="94" t="n">
        <v>463</v>
      </c>
      <c r="B477" s="95" t="n">
        <v>-0.00128269</v>
      </c>
      <c r="C477" s="43">
        <f>EXP(B477)-1</f>
        <v/>
      </c>
      <c r="D477" s="57">
        <f>B477*$B$11</f>
        <v/>
      </c>
    </row>
    <row r="478" ht="14" customHeight="1">
      <c r="A478" s="96" t="n">
        <v>464</v>
      </c>
      <c r="B478" s="97" t="n">
        <v>0.01058529</v>
      </c>
      <c r="C478" s="40">
        <f>EXP(B478)-1</f>
        <v/>
      </c>
      <c r="D478" s="59">
        <f>B478*$B$11</f>
        <v/>
      </c>
    </row>
    <row r="479" ht="14" customHeight="1">
      <c r="A479" s="94" t="n">
        <v>465</v>
      </c>
      <c r="B479" s="95" t="n">
        <v>-0.00619196</v>
      </c>
      <c r="C479" s="43">
        <f>EXP(B479)-1</f>
        <v/>
      </c>
      <c r="D479" s="57">
        <f>B479*$B$11</f>
        <v/>
      </c>
    </row>
    <row r="480" ht="14" customHeight="1">
      <c r="A480" s="96" t="n">
        <v>466</v>
      </c>
      <c r="B480" s="97" t="n">
        <v>-0.0014848</v>
      </c>
      <c r="C480" s="40">
        <f>EXP(B480)-1</f>
        <v/>
      </c>
      <c r="D480" s="59">
        <f>B480*$B$11</f>
        <v/>
      </c>
    </row>
    <row r="481" ht="14" customHeight="1">
      <c r="A481" s="94" t="n">
        <v>467</v>
      </c>
      <c r="B481" s="95" t="n">
        <v>0.00231912</v>
      </c>
      <c r="C481" s="43">
        <f>EXP(B481)-1</f>
        <v/>
      </c>
      <c r="D481" s="57">
        <f>B481*$B$11</f>
        <v/>
      </c>
    </row>
    <row r="482" ht="14" customHeight="1">
      <c r="A482" s="96" t="n">
        <v>468</v>
      </c>
      <c r="B482" s="97" t="n">
        <v>0.01848818</v>
      </c>
      <c r="C482" s="40">
        <f>EXP(B482)-1</f>
        <v/>
      </c>
      <c r="D482" s="59">
        <f>B482*$B$11</f>
        <v/>
      </c>
    </row>
    <row r="483" ht="14" customHeight="1">
      <c r="A483" s="94" t="n">
        <v>469</v>
      </c>
      <c r="B483" s="95" t="n">
        <v>-0.0010324</v>
      </c>
      <c r="C483" s="43">
        <f>EXP(B483)-1</f>
        <v/>
      </c>
      <c r="D483" s="57">
        <f>B483*$B$11</f>
        <v/>
      </c>
    </row>
    <row r="484" ht="14" customHeight="1">
      <c r="A484" s="96" t="n">
        <v>470</v>
      </c>
      <c r="B484" s="97" t="n">
        <v>-0.00405959</v>
      </c>
      <c r="C484" s="40">
        <f>EXP(B484)-1</f>
        <v/>
      </c>
      <c r="D484" s="59">
        <f>B484*$B$11</f>
        <v/>
      </c>
    </row>
    <row r="485" ht="14" customHeight="1">
      <c r="A485" s="94" t="n">
        <v>471</v>
      </c>
      <c r="B485" s="95" t="n">
        <v>-0.01240004</v>
      </c>
      <c r="C485" s="43">
        <f>EXP(B485)-1</f>
        <v/>
      </c>
      <c r="D485" s="57">
        <f>B485*$B$11</f>
        <v/>
      </c>
    </row>
    <row r="486" ht="14" customHeight="1">
      <c r="A486" s="96" t="n">
        <v>472</v>
      </c>
      <c r="B486" s="97" t="n">
        <v>0.00838263</v>
      </c>
      <c r="C486" s="40">
        <f>EXP(B486)-1</f>
        <v/>
      </c>
      <c r="D486" s="59">
        <f>B486*$B$11</f>
        <v/>
      </c>
    </row>
    <row r="487" ht="14" customHeight="1">
      <c r="A487" s="94" t="n">
        <v>473</v>
      </c>
      <c r="B487" s="95" t="n">
        <v>-0.00690174</v>
      </c>
      <c r="C487" s="43">
        <f>EXP(B487)-1</f>
        <v/>
      </c>
      <c r="D487" s="57">
        <f>B487*$B$11</f>
        <v/>
      </c>
    </row>
    <row r="488" ht="14" customHeight="1">
      <c r="A488" s="96" t="n">
        <v>474</v>
      </c>
      <c r="B488" s="97" t="n">
        <v>0.00427422</v>
      </c>
      <c r="C488" s="40">
        <f>EXP(B488)-1</f>
        <v/>
      </c>
      <c r="D488" s="59">
        <f>B488*$B$11</f>
        <v/>
      </c>
    </row>
    <row r="489" ht="14" customHeight="1">
      <c r="A489" s="94" t="n">
        <v>475</v>
      </c>
      <c r="B489" s="95" t="n">
        <v>-0.02266932</v>
      </c>
      <c r="C489" s="43">
        <f>EXP(B489)-1</f>
        <v/>
      </c>
      <c r="D489" s="57">
        <f>B489*$B$11</f>
        <v/>
      </c>
    </row>
    <row r="490" ht="14" customHeight="1">
      <c r="A490" s="96" t="n">
        <v>476</v>
      </c>
      <c r="B490" s="97" t="n">
        <v>0.01266824</v>
      </c>
      <c r="C490" s="40">
        <f>EXP(B490)-1</f>
        <v/>
      </c>
      <c r="D490" s="59">
        <f>B490*$B$11</f>
        <v/>
      </c>
    </row>
    <row r="491" ht="14" customHeight="1">
      <c r="A491" s="94" t="n">
        <v>477</v>
      </c>
      <c r="B491" s="95" t="n">
        <v>-0.01583325</v>
      </c>
      <c r="C491" s="43">
        <f>EXP(B491)-1</f>
        <v/>
      </c>
      <c r="D491" s="57">
        <f>B491*$B$11</f>
        <v/>
      </c>
    </row>
    <row r="492" ht="14" customHeight="1">
      <c r="A492" s="96" t="n">
        <v>478</v>
      </c>
      <c r="B492" s="97" t="n">
        <v>-0.00917811</v>
      </c>
      <c r="C492" s="40">
        <f>EXP(B492)-1</f>
        <v/>
      </c>
      <c r="D492" s="59">
        <f>B492*$B$11</f>
        <v/>
      </c>
    </row>
    <row r="493" ht="14" customHeight="1">
      <c r="A493" s="94" t="n">
        <v>479</v>
      </c>
      <c r="B493" s="95" t="n">
        <v>0.01285297</v>
      </c>
      <c r="C493" s="43">
        <f>EXP(B493)-1</f>
        <v/>
      </c>
      <c r="D493" s="57">
        <f>B493*$B$11</f>
        <v/>
      </c>
    </row>
    <row r="494" ht="14" customHeight="1">
      <c r="A494" s="96" t="n">
        <v>480</v>
      </c>
      <c r="B494" s="97" t="n">
        <v>-0.01586365</v>
      </c>
      <c r="C494" s="40">
        <f>EXP(B494)-1</f>
        <v/>
      </c>
      <c r="D494" s="59">
        <f>B494*$B$11</f>
        <v/>
      </c>
    </row>
    <row r="495" ht="14" customHeight="1">
      <c r="A495" s="94" t="n">
        <v>481</v>
      </c>
      <c r="B495" s="95" t="n">
        <v>-0.00080346</v>
      </c>
      <c r="C495" s="43">
        <f>EXP(B495)-1</f>
        <v/>
      </c>
      <c r="D495" s="57">
        <f>B495*$B$11</f>
        <v/>
      </c>
    </row>
    <row r="496" ht="14" customHeight="1">
      <c r="A496" s="96" t="n">
        <v>482</v>
      </c>
      <c r="B496" s="97" t="n">
        <v>0.00104107</v>
      </c>
      <c r="C496" s="40">
        <f>EXP(B496)-1</f>
        <v/>
      </c>
      <c r="D496" s="59">
        <f>B496*$B$11</f>
        <v/>
      </c>
    </row>
    <row r="497" ht="14" customHeight="1">
      <c r="A497" s="94" t="n">
        <v>483</v>
      </c>
      <c r="B497" s="95" t="n">
        <v>-0.01183268</v>
      </c>
      <c r="C497" s="43">
        <f>EXP(B497)-1</f>
        <v/>
      </c>
      <c r="D497" s="57">
        <f>B497*$B$11</f>
        <v/>
      </c>
    </row>
    <row r="498" ht="14" customHeight="1">
      <c r="A498" s="96" t="n">
        <v>484</v>
      </c>
      <c r="B498" s="97" t="n">
        <v>0.0162652</v>
      </c>
      <c r="C498" s="40">
        <f>EXP(B498)-1</f>
        <v/>
      </c>
      <c r="D498" s="59">
        <f>B498*$B$11</f>
        <v/>
      </c>
    </row>
    <row r="499" ht="14" customHeight="1">
      <c r="A499" s="94" t="n">
        <v>485</v>
      </c>
      <c r="B499" s="95" t="n">
        <v>0.01813534</v>
      </c>
      <c r="C499" s="43">
        <f>EXP(B499)-1</f>
        <v/>
      </c>
      <c r="D499" s="57">
        <f>B499*$B$11</f>
        <v/>
      </c>
    </row>
    <row r="500" ht="14" customHeight="1">
      <c r="A500" s="96" t="n">
        <v>486</v>
      </c>
      <c r="B500" s="97" t="n">
        <v>-0.02350941</v>
      </c>
      <c r="C500" s="40">
        <f>EXP(B500)-1</f>
        <v/>
      </c>
      <c r="D500" s="59">
        <f>B500*$B$11</f>
        <v/>
      </c>
    </row>
    <row r="501" ht="14" customHeight="1">
      <c r="A501" s="94" t="n">
        <v>487</v>
      </c>
      <c r="B501" s="95" t="n">
        <v>-0.01723788</v>
      </c>
      <c r="C501" s="43">
        <f>EXP(B501)-1</f>
        <v/>
      </c>
      <c r="D501" s="57">
        <f>B501*$B$11</f>
        <v/>
      </c>
    </row>
    <row r="502" ht="14" customHeight="1">
      <c r="A502" s="96" t="n">
        <v>488</v>
      </c>
      <c r="B502" s="97" t="n">
        <v>0.00984879</v>
      </c>
      <c r="C502" s="40">
        <f>EXP(B502)-1</f>
        <v/>
      </c>
      <c r="D502" s="59">
        <f>B502*$B$11</f>
        <v/>
      </c>
    </row>
    <row r="503" ht="14" customHeight="1">
      <c r="A503" s="94" t="n">
        <v>489</v>
      </c>
      <c r="B503" s="95" t="n">
        <v>-0.01548629</v>
      </c>
      <c r="C503" s="43">
        <f>EXP(B503)-1</f>
        <v/>
      </c>
      <c r="D503" s="57">
        <f>B503*$B$11</f>
        <v/>
      </c>
    </row>
    <row r="504" ht="14" customHeight="1">
      <c r="A504" s="96" t="n">
        <v>490</v>
      </c>
      <c r="B504" s="97" t="n">
        <v>-0.00451365</v>
      </c>
      <c r="C504" s="40">
        <f>EXP(B504)-1</f>
        <v/>
      </c>
      <c r="D504" s="59">
        <f>B504*$B$11</f>
        <v/>
      </c>
    </row>
    <row r="505" ht="14" customHeight="1">
      <c r="A505" s="94" t="n">
        <v>491</v>
      </c>
      <c r="B505" s="95" t="n">
        <v>0.00170463</v>
      </c>
      <c r="C505" s="43">
        <f>EXP(B505)-1</f>
        <v/>
      </c>
      <c r="D505" s="57">
        <f>B505*$B$11</f>
        <v/>
      </c>
    </row>
    <row r="506" ht="14" customHeight="1">
      <c r="A506" s="96" t="n">
        <v>492</v>
      </c>
      <c r="B506" s="97" t="n">
        <v>0.0084522</v>
      </c>
      <c r="C506" s="40">
        <f>EXP(B506)-1</f>
        <v/>
      </c>
      <c r="D506" s="59">
        <f>B506*$B$11</f>
        <v/>
      </c>
    </row>
    <row r="507" ht="14" customHeight="1">
      <c r="A507" s="94" t="n">
        <v>493</v>
      </c>
      <c r="B507" s="95" t="n">
        <v>-0.00252903</v>
      </c>
      <c r="C507" s="43">
        <f>EXP(B507)-1</f>
        <v/>
      </c>
      <c r="D507" s="57">
        <f>B507*$B$11</f>
        <v/>
      </c>
    </row>
    <row r="508" ht="14" customHeight="1">
      <c r="A508" s="96" t="n">
        <v>494</v>
      </c>
      <c r="B508" s="97" t="n">
        <v>0.00129265</v>
      </c>
      <c r="C508" s="40">
        <f>EXP(B508)-1</f>
        <v/>
      </c>
      <c r="D508" s="59">
        <f>B508*$B$11</f>
        <v/>
      </c>
    </row>
    <row r="509" ht="14" customHeight="1">
      <c r="A509" s="94" t="n">
        <v>495</v>
      </c>
      <c r="B509" s="95" t="n">
        <v>-0.0091708</v>
      </c>
      <c r="C509" s="43">
        <f>EXP(B509)-1</f>
        <v/>
      </c>
      <c r="D509" s="57">
        <f>B509*$B$11</f>
        <v/>
      </c>
    </row>
    <row r="510" ht="14" customHeight="1">
      <c r="A510" s="96" t="n">
        <v>496</v>
      </c>
      <c r="B510" s="97" t="n">
        <v>0.01565834</v>
      </c>
      <c r="C510" s="40">
        <f>EXP(B510)-1</f>
        <v/>
      </c>
      <c r="D510" s="59">
        <f>B510*$B$11</f>
        <v/>
      </c>
    </row>
    <row r="511" ht="14" customHeight="1">
      <c r="A511" s="94" t="n">
        <v>497</v>
      </c>
      <c r="B511" s="95" t="n">
        <v>-0.00579377</v>
      </c>
      <c r="C511" s="43">
        <f>EXP(B511)-1</f>
        <v/>
      </c>
      <c r="D511" s="57">
        <f>B511*$B$11</f>
        <v/>
      </c>
    </row>
    <row r="512" ht="14" customHeight="1">
      <c r="A512" s="96" t="n">
        <v>498</v>
      </c>
      <c r="B512" s="97" t="n">
        <v>0.00422679</v>
      </c>
      <c r="C512" s="40">
        <f>EXP(B512)-1</f>
        <v/>
      </c>
      <c r="D512" s="59">
        <f>B512*$B$11</f>
        <v/>
      </c>
    </row>
    <row r="513" ht="14" customHeight="1">
      <c r="A513" s="94" t="n">
        <v>499</v>
      </c>
      <c r="B513" s="95" t="n">
        <v>-0.00598966</v>
      </c>
      <c r="C513" s="43">
        <f>EXP(B513)-1</f>
        <v/>
      </c>
      <c r="D513" s="57">
        <f>B513*$B$11</f>
        <v/>
      </c>
    </row>
    <row r="514" ht="14" customHeight="1">
      <c r="A514" s="96" t="n">
        <v>500</v>
      </c>
      <c r="B514" s="97" t="n">
        <v>0.00142588</v>
      </c>
      <c r="C514" s="40">
        <f>EXP(B514)-1</f>
        <v/>
      </c>
      <c r="D514" s="59">
        <f>B514*$B$11</f>
        <v/>
      </c>
    </row>
    <row r="515" ht="14" customHeight="1">
      <c r="A515" s="94" t="n">
        <v>501</v>
      </c>
      <c r="B515" s="95" t="n">
        <v>-0.00186796</v>
      </c>
      <c r="C515" s="43">
        <f>EXP(B515)-1</f>
        <v/>
      </c>
      <c r="D515" s="57">
        <f>B515*$B$11</f>
        <v/>
      </c>
    </row>
    <row r="516" ht="14" customHeight="1">
      <c r="A516" s="96" t="n">
        <v>502</v>
      </c>
      <c r="B516" s="97" t="n">
        <v>-0.00179957</v>
      </c>
      <c r="C516" s="40">
        <f>EXP(B516)-1</f>
        <v/>
      </c>
      <c r="D516" s="59">
        <f>B516*$B$11</f>
        <v/>
      </c>
    </row>
    <row r="517" ht="14" customHeight="1">
      <c r="A517" s="94" t="n">
        <v>503</v>
      </c>
      <c r="B517" s="95" t="n">
        <v>-0.01201537</v>
      </c>
      <c r="C517" s="43">
        <f>EXP(B517)-1</f>
        <v/>
      </c>
      <c r="D517" s="57">
        <f>B517*$B$11</f>
        <v/>
      </c>
    </row>
    <row r="518" ht="14" customHeight="1">
      <c r="A518" s="96" t="n">
        <v>504</v>
      </c>
      <c r="B518" s="97" t="n">
        <v>0.009706950000000001</v>
      </c>
      <c r="C518" s="40">
        <f>EXP(B518)-1</f>
        <v/>
      </c>
      <c r="D518" s="59">
        <f>B518*$B$11</f>
        <v/>
      </c>
    </row>
    <row r="519" ht="14" customHeight="1">
      <c r="A519" s="94" t="n">
        <v>505</v>
      </c>
      <c r="B519" s="95" t="n">
        <v>0.01711851</v>
      </c>
      <c r="C519" s="43">
        <f>EXP(B519)-1</f>
        <v/>
      </c>
      <c r="D519" s="57">
        <f>B519*$B$11</f>
        <v/>
      </c>
    </row>
    <row r="520" ht="14" customHeight="1">
      <c r="A520" s="96" t="n">
        <v>506</v>
      </c>
      <c r="B520" s="97" t="n">
        <v>0.00306778</v>
      </c>
      <c r="C520" s="40">
        <f>EXP(B520)-1</f>
        <v/>
      </c>
      <c r="D520" s="59">
        <f>B520*$B$11</f>
        <v/>
      </c>
    </row>
    <row r="521" ht="14" customHeight="1">
      <c r="A521" s="94" t="n">
        <v>507</v>
      </c>
      <c r="B521" s="95" t="n">
        <v>0.00893802</v>
      </c>
      <c r="C521" s="43">
        <f>EXP(B521)-1</f>
        <v/>
      </c>
      <c r="D521" s="57">
        <f>B521*$B$11</f>
        <v/>
      </c>
    </row>
    <row r="522" ht="14" customHeight="1">
      <c r="A522" s="96" t="n">
        <v>508</v>
      </c>
      <c r="B522" s="97" t="n">
        <v>0.01020681</v>
      </c>
      <c r="C522" s="40">
        <f>EXP(B522)-1</f>
        <v/>
      </c>
      <c r="D522" s="59">
        <f>B522*$B$11</f>
        <v/>
      </c>
    </row>
    <row r="523" ht="14" customHeight="1">
      <c r="A523" s="94" t="n">
        <v>509</v>
      </c>
      <c r="B523" s="95" t="n">
        <v>0.01128583</v>
      </c>
      <c r="C523" s="43">
        <f>EXP(B523)-1</f>
        <v/>
      </c>
      <c r="D523" s="57">
        <f>B523*$B$11</f>
        <v/>
      </c>
    </row>
    <row r="524" ht="14" customHeight="1">
      <c r="A524" s="96" t="n">
        <v>510</v>
      </c>
      <c r="B524" s="97" t="n">
        <v>0.00379028</v>
      </c>
      <c r="C524" s="40">
        <f>EXP(B524)-1</f>
        <v/>
      </c>
      <c r="D524" s="59">
        <f>B524*$B$11</f>
        <v/>
      </c>
    </row>
    <row r="525" ht="14" customHeight="1">
      <c r="A525" s="94" t="n">
        <v>511</v>
      </c>
      <c r="B525" s="95" t="n">
        <v>0.00269709</v>
      </c>
      <c r="C525" s="43">
        <f>EXP(B525)-1</f>
        <v/>
      </c>
      <c r="D525" s="57">
        <f>B525*$B$11</f>
        <v/>
      </c>
    </row>
    <row r="526" ht="14" customHeight="1">
      <c r="A526" s="96" t="n">
        <v>512</v>
      </c>
      <c r="B526" s="97" t="n">
        <v>0.01051809</v>
      </c>
      <c r="C526" s="40">
        <f>EXP(B526)-1</f>
        <v/>
      </c>
      <c r="D526" s="59">
        <f>B526*$B$11</f>
        <v/>
      </c>
    </row>
    <row r="527" ht="14" customHeight="1">
      <c r="A527" s="94" t="n">
        <v>513</v>
      </c>
      <c r="B527" s="95" t="n">
        <v>0.00097599</v>
      </c>
      <c r="C527" s="43">
        <f>EXP(B527)-1</f>
        <v/>
      </c>
      <c r="D527" s="57">
        <f>B527*$B$11</f>
        <v/>
      </c>
    </row>
    <row r="528" ht="14" customHeight="1">
      <c r="A528" s="96" t="n">
        <v>514</v>
      </c>
      <c r="B528" s="97" t="n">
        <v>-0.01153702</v>
      </c>
      <c r="C528" s="40">
        <f>EXP(B528)-1</f>
        <v/>
      </c>
      <c r="D528" s="59">
        <f>B528*$B$11</f>
        <v/>
      </c>
    </row>
    <row r="529" ht="14" customHeight="1">
      <c r="A529" s="94" t="n">
        <v>515</v>
      </c>
      <c r="B529" s="95" t="n">
        <v>0.00043618</v>
      </c>
      <c r="C529" s="43">
        <f>EXP(B529)-1</f>
        <v/>
      </c>
      <c r="D529" s="57">
        <f>B529*$B$11</f>
        <v/>
      </c>
    </row>
    <row r="530" ht="14" customHeight="1">
      <c r="A530" s="96" t="n">
        <v>516</v>
      </c>
      <c r="B530" s="97" t="n">
        <v>-0.02251098</v>
      </c>
      <c r="C530" s="40">
        <f>EXP(B530)-1</f>
        <v/>
      </c>
      <c r="D530" s="59">
        <f>B530*$B$11</f>
        <v/>
      </c>
    </row>
    <row r="531" ht="14" customHeight="1">
      <c r="A531" s="94" t="n">
        <v>517</v>
      </c>
      <c r="B531" s="95" t="n">
        <v>7.92e-05</v>
      </c>
      <c r="C531" s="43">
        <f>EXP(B531)-1</f>
        <v/>
      </c>
      <c r="D531" s="57">
        <f>B531*$B$11</f>
        <v/>
      </c>
    </row>
    <row r="532" ht="14" customHeight="1">
      <c r="A532" s="96" t="n">
        <v>518</v>
      </c>
      <c r="B532" s="97" t="n">
        <v>0.00511047</v>
      </c>
      <c r="C532" s="40">
        <f>EXP(B532)-1</f>
        <v/>
      </c>
      <c r="D532" s="59">
        <f>B532*$B$11</f>
        <v/>
      </c>
    </row>
    <row r="533" ht="14" customHeight="1">
      <c r="A533" s="94" t="n">
        <v>519</v>
      </c>
      <c r="B533" s="95" t="n">
        <v>0.01498177</v>
      </c>
      <c r="C533" s="43">
        <f>EXP(B533)-1</f>
        <v/>
      </c>
      <c r="D533" s="57">
        <f>B533*$B$11</f>
        <v/>
      </c>
    </row>
    <row r="534" ht="14" customHeight="1">
      <c r="A534" s="96" t="n">
        <v>520</v>
      </c>
      <c r="B534" s="97" t="n">
        <v>0.00196533</v>
      </c>
      <c r="C534" s="40">
        <f>EXP(B534)-1</f>
        <v/>
      </c>
      <c r="D534" s="59">
        <f>B534*$B$11</f>
        <v/>
      </c>
    </row>
    <row r="535" ht="14" customHeight="1">
      <c r="A535" s="94" t="n">
        <v>521</v>
      </c>
      <c r="B535" s="95" t="n">
        <v>0.01128768</v>
      </c>
      <c r="C535" s="43">
        <f>EXP(B535)-1</f>
        <v/>
      </c>
      <c r="D535" s="57">
        <f>B535*$B$11</f>
        <v/>
      </c>
    </row>
    <row r="536" ht="14" customHeight="1">
      <c r="A536" s="96" t="n">
        <v>522</v>
      </c>
      <c r="B536" s="97" t="n">
        <v>0.00014355</v>
      </c>
      <c r="C536" s="40">
        <f>EXP(B536)-1</f>
        <v/>
      </c>
      <c r="D536" s="59">
        <f>B536*$B$11</f>
        <v/>
      </c>
    </row>
    <row r="537" ht="14" customHeight="1">
      <c r="A537" s="94" t="n">
        <v>523</v>
      </c>
      <c r="B537" s="95" t="n">
        <v>-0.01213172</v>
      </c>
      <c r="C537" s="43">
        <f>EXP(B537)-1</f>
        <v/>
      </c>
      <c r="D537" s="57">
        <f>B537*$B$11</f>
        <v/>
      </c>
    </row>
    <row r="538" ht="14" customHeight="1">
      <c r="A538" s="96" t="n">
        <v>524</v>
      </c>
      <c r="B538" s="97" t="n">
        <v>-0.01678656</v>
      </c>
      <c r="C538" s="40">
        <f>EXP(B538)-1</f>
        <v/>
      </c>
      <c r="D538" s="59">
        <f>B538*$B$11</f>
        <v/>
      </c>
    </row>
    <row r="539" ht="14" customHeight="1">
      <c r="A539" s="94" t="n">
        <v>525</v>
      </c>
      <c r="B539" s="95" t="n">
        <v>-0.01148681</v>
      </c>
      <c r="C539" s="43">
        <f>EXP(B539)-1</f>
        <v/>
      </c>
      <c r="D539" s="57">
        <f>B539*$B$11</f>
        <v/>
      </c>
    </row>
    <row r="540" ht="14" customHeight="1">
      <c r="A540" s="96" t="n">
        <v>526</v>
      </c>
      <c r="B540" s="97" t="n">
        <v>-0.01624377</v>
      </c>
      <c r="C540" s="40">
        <f>EXP(B540)-1</f>
        <v/>
      </c>
      <c r="D540" s="59">
        <f>B540*$B$11</f>
        <v/>
      </c>
    </row>
    <row r="541" ht="14" customHeight="1">
      <c r="A541" s="94" t="n">
        <v>527</v>
      </c>
      <c r="B541" s="95" t="n">
        <v>0.00775449</v>
      </c>
      <c r="C541" s="43">
        <f>EXP(B541)-1</f>
        <v/>
      </c>
      <c r="D541" s="57">
        <f>B541*$B$11</f>
        <v/>
      </c>
    </row>
    <row r="542" ht="14" customHeight="1">
      <c r="A542" s="96" t="n">
        <v>528</v>
      </c>
      <c r="B542" s="97" t="n">
        <v>-0.00234138</v>
      </c>
      <c r="C542" s="40">
        <f>EXP(B542)-1</f>
        <v/>
      </c>
      <c r="D542" s="59">
        <f>B542*$B$11</f>
        <v/>
      </c>
    </row>
    <row r="543" ht="14" customHeight="1">
      <c r="A543" s="94" t="n">
        <v>529</v>
      </c>
      <c r="B543" s="95" t="n">
        <v>0.00699378</v>
      </c>
      <c r="C543" s="43">
        <f>EXP(B543)-1</f>
        <v/>
      </c>
      <c r="D543" s="57">
        <f>B543*$B$11</f>
        <v/>
      </c>
    </row>
    <row r="544" ht="14" customHeight="1">
      <c r="A544" s="96" t="n">
        <v>530</v>
      </c>
      <c r="B544" s="97" t="n">
        <v>0.00103118</v>
      </c>
      <c r="C544" s="40">
        <f>EXP(B544)-1</f>
        <v/>
      </c>
      <c r="D544" s="59">
        <f>B544*$B$11</f>
        <v/>
      </c>
    </row>
    <row r="545" ht="14" customHeight="1">
      <c r="A545" s="94" t="n">
        <v>531</v>
      </c>
      <c r="B545" s="95" t="n">
        <v>0.01267859</v>
      </c>
      <c r="C545" s="43">
        <f>EXP(B545)-1</f>
        <v/>
      </c>
      <c r="D545" s="57">
        <f>B545*$B$11</f>
        <v/>
      </c>
    </row>
    <row r="546" ht="14" customHeight="1">
      <c r="A546" s="96" t="n">
        <v>532</v>
      </c>
      <c r="B546" s="97" t="n">
        <v>0.01287231</v>
      </c>
      <c r="C546" s="40">
        <f>EXP(B546)-1</f>
        <v/>
      </c>
      <c r="D546" s="59">
        <f>B546*$B$11</f>
        <v/>
      </c>
    </row>
    <row r="547" ht="14" customHeight="1">
      <c r="A547" s="94" t="n">
        <v>533</v>
      </c>
      <c r="B547" s="95" t="n">
        <v>-0.00759406</v>
      </c>
      <c r="C547" s="43">
        <f>EXP(B547)-1</f>
        <v/>
      </c>
      <c r="D547" s="57">
        <f>B547*$B$11</f>
        <v/>
      </c>
    </row>
    <row r="548" ht="14" customHeight="1">
      <c r="A548" s="96" t="n">
        <v>534</v>
      </c>
      <c r="B548" s="97" t="n">
        <v>-0.00314179</v>
      </c>
      <c r="C548" s="40">
        <f>EXP(B548)-1</f>
        <v/>
      </c>
      <c r="D548" s="59">
        <f>B548*$B$11</f>
        <v/>
      </c>
    </row>
    <row r="549" ht="14" customHeight="1">
      <c r="A549" s="94" t="n">
        <v>535</v>
      </c>
      <c r="B549" s="95" t="n">
        <v>-0.00624394</v>
      </c>
      <c r="C549" s="43">
        <f>EXP(B549)-1</f>
        <v/>
      </c>
      <c r="D549" s="57">
        <f>B549*$B$11</f>
        <v/>
      </c>
    </row>
    <row r="550" ht="14" customHeight="1">
      <c r="A550" s="96" t="n">
        <v>536</v>
      </c>
      <c r="B550" s="97" t="n">
        <v>-0.01930574</v>
      </c>
      <c r="C550" s="40">
        <f>EXP(B550)-1</f>
        <v/>
      </c>
      <c r="D550" s="59">
        <f>B550*$B$11</f>
        <v/>
      </c>
    </row>
    <row r="551" ht="14" customHeight="1">
      <c r="A551" s="94" t="n">
        <v>537</v>
      </c>
      <c r="B551" s="95" t="n">
        <v>0.008252610000000001</v>
      </c>
      <c r="C551" s="43">
        <f>EXP(B551)-1</f>
        <v/>
      </c>
      <c r="D551" s="57">
        <f>B551*$B$11</f>
        <v/>
      </c>
    </row>
    <row r="552" ht="14" customHeight="1">
      <c r="A552" s="96" t="n">
        <v>538</v>
      </c>
      <c r="B552" s="97" t="n">
        <v>0.01441554</v>
      </c>
      <c r="C552" s="40">
        <f>EXP(B552)-1</f>
        <v/>
      </c>
      <c r="D552" s="59">
        <f>B552*$B$11</f>
        <v/>
      </c>
    </row>
    <row r="553" ht="14" customHeight="1">
      <c r="A553" s="94" t="n">
        <v>539</v>
      </c>
      <c r="B553" s="95" t="n">
        <v>7.286e-05</v>
      </c>
      <c r="C553" s="43">
        <f>EXP(B553)-1</f>
        <v/>
      </c>
      <c r="D553" s="57">
        <f>B553*$B$11</f>
        <v/>
      </c>
    </row>
    <row r="554" ht="14" customHeight="1">
      <c r="A554" s="96" t="n">
        <v>540</v>
      </c>
      <c r="B554" s="97" t="n">
        <v>-0.00576831</v>
      </c>
      <c r="C554" s="40">
        <f>EXP(B554)-1</f>
        <v/>
      </c>
      <c r="D554" s="59">
        <f>B554*$B$11</f>
        <v/>
      </c>
    </row>
    <row r="555" ht="14" customHeight="1">
      <c r="A555" s="94" t="n">
        <v>541</v>
      </c>
      <c r="B555" s="95" t="n">
        <v>0.01324086</v>
      </c>
      <c r="C555" s="43">
        <f>EXP(B555)-1</f>
        <v/>
      </c>
      <c r="D555" s="57">
        <f>B555*$B$11</f>
        <v/>
      </c>
    </row>
    <row r="556" ht="14" customHeight="1">
      <c r="A556" s="96" t="n">
        <v>542</v>
      </c>
      <c r="B556" s="97" t="n">
        <v>-0.02798955</v>
      </c>
      <c r="C556" s="40">
        <f>EXP(B556)-1</f>
        <v/>
      </c>
      <c r="D556" s="59">
        <f>B556*$B$11</f>
        <v/>
      </c>
    </row>
    <row r="557" ht="14" customHeight="1">
      <c r="A557" s="94" t="n">
        <v>543</v>
      </c>
      <c r="B557" s="95" t="n">
        <v>0.0022797</v>
      </c>
      <c r="C557" s="43">
        <f>EXP(B557)-1</f>
        <v/>
      </c>
      <c r="D557" s="57">
        <f>B557*$B$11</f>
        <v/>
      </c>
    </row>
    <row r="558" ht="14" customHeight="1">
      <c r="A558" s="96" t="n">
        <v>544</v>
      </c>
      <c r="B558" s="97" t="n">
        <v>0.00186941</v>
      </c>
      <c r="C558" s="40">
        <f>EXP(B558)-1</f>
        <v/>
      </c>
      <c r="D558" s="59">
        <f>B558*$B$11</f>
        <v/>
      </c>
    </row>
    <row r="559" ht="14" customHeight="1">
      <c r="A559" s="94" t="n">
        <v>545</v>
      </c>
      <c r="B559" s="95" t="n">
        <v>-0.00670028</v>
      </c>
      <c r="C559" s="43">
        <f>EXP(B559)-1</f>
        <v/>
      </c>
      <c r="D559" s="57">
        <f>B559*$B$11</f>
        <v/>
      </c>
    </row>
    <row r="560" ht="14" customHeight="1">
      <c r="A560" s="96" t="n">
        <v>546</v>
      </c>
      <c r="B560" s="97" t="n">
        <v>0.01684889</v>
      </c>
      <c r="C560" s="40">
        <f>EXP(B560)-1</f>
        <v/>
      </c>
      <c r="D560" s="59">
        <f>B560*$B$11</f>
        <v/>
      </c>
    </row>
    <row r="561" ht="14" customHeight="1">
      <c r="A561" s="94" t="n">
        <v>547</v>
      </c>
      <c r="B561" s="95" t="n">
        <v>0.01179883</v>
      </c>
      <c r="C561" s="43">
        <f>EXP(B561)-1</f>
        <v/>
      </c>
      <c r="D561" s="57">
        <f>B561*$B$11</f>
        <v/>
      </c>
    </row>
    <row r="562" ht="14" customHeight="1">
      <c r="A562" s="96" t="n">
        <v>548</v>
      </c>
      <c r="B562" s="97" t="n">
        <v>-0.00298389</v>
      </c>
      <c r="C562" s="40">
        <f>EXP(B562)-1</f>
        <v/>
      </c>
      <c r="D562" s="59">
        <f>B562*$B$11</f>
        <v/>
      </c>
    </row>
    <row r="563" ht="14" customHeight="1">
      <c r="A563" s="94" t="n">
        <v>549</v>
      </c>
      <c r="B563" s="95" t="n">
        <v>-0.00089035</v>
      </c>
      <c r="C563" s="43">
        <f>EXP(B563)-1</f>
        <v/>
      </c>
      <c r="D563" s="57">
        <f>B563*$B$11</f>
        <v/>
      </c>
    </row>
    <row r="564" ht="14" customHeight="1">
      <c r="A564" s="96" t="n">
        <v>550</v>
      </c>
      <c r="B564" s="97" t="n">
        <v>-0.00450629</v>
      </c>
      <c r="C564" s="40">
        <f>EXP(B564)-1</f>
        <v/>
      </c>
      <c r="D564" s="59">
        <f>B564*$B$11</f>
        <v/>
      </c>
    </row>
    <row r="565" ht="14" customHeight="1">
      <c r="A565" s="94" t="n">
        <v>551</v>
      </c>
      <c r="B565" s="95" t="n">
        <v>-0.00599544</v>
      </c>
      <c r="C565" s="43">
        <f>EXP(B565)-1</f>
        <v/>
      </c>
      <c r="D565" s="57">
        <f>B565*$B$11</f>
        <v/>
      </c>
    </row>
    <row r="566" ht="14" customHeight="1">
      <c r="A566" s="96" t="n">
        <v>552</v>
      </c>
      <c r="B566" s="97" t="n">
        <v>-0.0155484</v>
      </c>
      <c r="C566" s="40">
        <f>EXP(B566)-1</f>
        <v/>
      </c>
      <c r="D566" s="59">
        <f>B566*$B$11</f>
        <v/>
      </c>
    </row>
    <row r="567" ht="14" customHeight="1">
      <c r="A567" s="94" t="n">
        <v>553</v>
      </c>
      <c r="B567" s="95" t="n">
        <v>0.01670938</v>
      </c>
      <c r="C567" s="43">
        <f>EXP(B567)-1</f>
        <v/>
      </c>
      <c r="D567" s="57">
        <f>B567*$B$11</f>
        <v/>
      </c>
    </row>
    <row r="568" ht="14" customHeight="1">
      <c r="A568" s="96" t="n">
        <v>554</v>
      </c>
      <c r="B568" s="97" t="n">
        <v>0.012486</v>
      </c>
      <c r="C568" s="40">
        <f>EXP(B568)-1</f>
        <v/>
      </c>
      <c r="D568" s="59">
        <f>B568*$B$11</f>
        <v/>
      </c>
    </row>
    <row r="569" ht="14" customHeight="1">
      <c r="A569" s="94" t="n">
        <v>555</v>
      </c>
      <c r="B569" s="95" t="n">
        <v>0.009728000000000001</v>
      </c>
      <c r="C569" s="43">
        <f>EXP(B569)-1</f>
        <v/>
      </c>
      <c r="D569" s="57">
        <f>B569*$B$11</f>
        <v/>
      </c>
    </row>
    <row r="570" ht="14" customHeight="1">
      <c r="A570" s="96" t="n">
        <v>556</v>
      </c>
      <c r="B570" s="97" t="n">
        <v>-0.01298203</v>
      </c>
      <c r="C570" s="40">
        <f>EXP(B570)-1</f>
        <v/>
      </c>
      <c r="D570" s="59">
        <f>B570*$B$11</f>
        <v/>
      </c>
    </row>
    <row r="571" ht="14" customHeight="1">
      <c r="A571" s="94" t="n">
        <v>557</v>
      </c>
      <c r="B571" s="95" t="n">
        <v>0.02512014</v>
      </c>
      <c r="C571" s="43">
        <f>EXP(B571)-1</f>
        <v/>
      </c>
      <c r="D571" s="57">
        <f>B571*$B$11</f>
        <v/>
      </c>
    </row>
    <row r="572" ht="14" customHeight="1">
      <c r="A572" s="96" t="n">
        <v>558</v>
      </c>
      <c r="B572" s="97" t="n">
        <v>0.02391198</v>
      </c>
      <c r="C572" s="40">
        <f>EXP(B572)-1</f>
        <v/>
      </c>
      <c r="D572" s="59">
        <f>B572*$B$11</f>
        <v/>
      </c>
    </row>
    <row r="573" ht="14" customHeight="1">
      <c r="A573" s="94" t="n">
        <v>559</v>
      </c>
      <c r="B573" s="95" t="n">
        <v>0.00240669</v>
      </c>
      <c r="C573" s="43">
        <f>EXP(B573)-1</f>
        <v/>
      </c>
      <c r="D573" s="57">
        <f>B573*$B$11</f>
        <v/>
      </c>
    </row>
    <row r="574" ht="14" customHeight="1">
      <c r="A574" s="96" t="n">
        <v>560</v>
      </c>
      <c r="B574" s="97" t="n">
        <v>-0.01070065</v>
      </c>
      <c r="C574" s="40">
        <f>EXP(B574)-1</f>
        <v/>
      </c>
      <c r="D574" s="59">
        <f>B574*$B$11</f>
        <v/>
      </c>
    </row>
    <row r="575" ht="14" customHeight="1">
      <c r="A575" s="94" t="n">
        <v>561</v>
      </c>
      <c r="B575" s="95" t="n">
        <v>-0.01024716</v>
      </c>
      <c r="C575" s="43">
        <f>EXP(B575)-1</f>
        <v/>
      </c>
      <c r="D575" s="57">
        <f>B575*$B$11</f>
        <v/>
      </c>
    </row>
    <row r="576" ht="14" customHeight="1">
      <c r="A576" s="96" t="n">
        <v>562</v>
      </c>
      <c r="B576" s="97" t="n">
        <v>0.00517258</v>
      </c>
      <c r="C576" s="40">
        <f>EXP(B576)-1</f>
        <v/>
      </c>
      <c r="D576" s="59">
        <f>B576*$B$11</f>
        <v/>
      </c>
    </row>
    <row r="577" ht="14" customHeight="1">
      <c r="A577" s="94" t="n">
        <v>563</v>
      </c>
      <c r="B577" s="95" t="n">
        <v>-0.01080617</v>
      </c>
      <c r="C577" s="43">
        <f>EXP(B577)-1</f>
        <v/>
      </c>
      <c r="D577" s="57">
        <f>B577*$B$11</f>
        <v/>
      </c>
    </row>
    <row r="578" ht="14" customHeight="1">
      <c r="A578" s="96" t="n">
        <v>564</v>
      </c>
      <c r="B578" s="97" t="n">
        <v>-0.00026053</v>
      </c>
      <c r="C578" s="40">
        <f>EXP(B578)-1</f>
        <v/>
      </c>
      <c r="D578" s="59">
        <f>B578*$B$11</f>
        <v/>
      </c>
    </row>
    <row r="579" ht="14" customHeight="1">
      <c r="A579" s="94" t="n">
        <v>565</v>
      </c>
      <c r="B579" s="95" t="n">
        <v>0.01321374</v>
      </c>
      <c r="C579" s="43">
        <f>EXP(B579)-1</f>
        <v/>
      </c>
      <c r="D579" s="57">
        <f>B579*$B$11</f>
        <v/>
      </c>
    </row>
    <row r="580" ht="14" customHeight="1">
      <c r="A580" s="96" t="n">
        <v>566</v>
      </c>
      <c r="B580" s="97" t="n">
        <v>-0.01793188</v>
      </c>
      <c r="C580" s="40">
        <f>EXP(B580)-1</f>
        <v/>
      </c>
      <c r="D580" s="59">
        <f>B580*$B$11</f>
        <v/>
      </c>
    </row>
    <row r="581" ht="14" customHeight="1">
      <c r="A581" s="94" t="n">
        <v>567</v>
      </c>
      <c r="B581" s="95" t="n">
        <v>0.02421874</v>
      </c>
      <c r="C581" s="43">
        <f>EXP(B581)-1</f>
        <v/>
      </c>
      <c r="D581" s="57">
        <f>B581*$B$11</f>
        <v/>
      </c>
    </row>
    <row r="582" ht="14" customHeight="1">
      <c r="A582" s="96" t="n">
        <v>568</v>
      </c>
      <c r="B582" s="97" t="n">
        <v>0.0189505</v>
      </c>
      <c r="C582" s="40">
        <f>EXP(B582)-1</f>
        <v/>
      </c>
      <c r="D582" s="59">
        <f>B582*$B$11</f>
        <v/>
      </c>
    </row>
    <row r="583" ht="14" customHeight="1">
      <c r="A583" s="94" t="n">
        <v>569</v>
      </c>
      <c r="B583" s="95" t="n">
        <v>-0.01469503</v>
      </c>
      <c r="C583" s="43">
        <f>EXP(B583)-1</f>
        <v/>
      </c>
      <c r="D583" s="57">
        <f>B583*$B$11</f>
        <v/>
      </c>
    </row>
    <row r="584" ht="14" customHeight="1">
      <c r="A584" s="96" t="n">
        <v>570</v>
      </c>
      <c r="B584" s="97" t="n">
        <v>-0.0168137</v>
      </c>
      <c r="C584" s="40">
        <f>EXP(B584)-1</f>
        <v/>
      </c>
      <c r="D584" s="59">
        <f>B584*$B$11</f>
        <v/>
      </c>
    </row>
    <row r="585" ht="14" customHeight="1">
      <c r="A585" s="94" t="n">
        <v>571</v>
      </c>
      <c r="B585" s="95" t="n">
        <v>-0.00325106</v>
      </c>
      <c r="C585" s="43">
        <f>EXP(B585)-1</f>
        <v/>
      </c>
      <c r="D585" s="57">
        <f>B585*$B$11</f>
        <v/>
      </c>
    </row>
    <row r="586" ht="14" customHeight="1">
      <c r="A586" s="96" t="n">
        <v>572</v>
      </c>
      <c r="B586" s="97" t="n">
        <v>-0.01222372</v>
      </c>
      <c r="C586" s="40">
        <f>EXP(B586)-1</f>
        <v/>
      </c>
      <c r="D586" s="59">
        <f>B586*$B$11</f>
        <v/>
      </c>
    </row>
    <row r="587" ht="14" customHeight="1">
      <c r="A587" s="94" t="n">
        <v>573</v>
      </c>
      <c r="B587" s="95" t="n">
        <v>-0.00301465</v>
      </c>
      <c r="C587" s="43">
        <f>EXP(B587)-1</f>
        <v/>
      </c>
      <c r="D587" s="57">
        <f>B587*$B$11</f>
        <v/>
      </c>
    </row>
    <row r="588" ht="14" customHeight="1">
      <c r="A588" s="96" t="n">
        <v>574</v>
      </c>
      <c r="B588" s="97" t="n">
        <v>-0.03082423</v>
      </c>
      <c r="C588" s="40">
        <f>EXP(B588)-1</f>
        <v/>
      </c>
      <c r="D588" s="59">
        <f>B588*$B$11</f>
        <v/>
      </c>
    </row>
    <row r="589" ht="14" customHeight="1">
      <c r="A589" s="94" t="n">
        <v>575</v>
      </c>
      <c r="B589" s="95" t="n">
        <v>-0.00259442</v>
      </c>
      <c r="C589" s="43">
        <f>EXP(B589)-1</f>
        <v/>
      </c>
      <c r="D589" s="57">
        <f>B589*$B$11</f>
        <v/>
      </c>
    </row>
    <row r="590" ht="14" customHeight="1">
      <c r="A590" s="96" t="n">
        <v>576</v>
      </c>
      <c r="B590" s="97" t="n">
        <v>0.02178428</v>
      </c>
      <c r="C590" s="40">
        <f>EXP(B590)-1</f>
        <v/>
      </c>
      <c r="D590" s="59">
        <f>B590*$B$11</f>
        <v/>
      </c>
    </row>
    <row r="591" ht="14" customHeight="1">
      <c r="A591" s="94" t="n">
        <v>577</v>
      </c>
      <c r="B591" s="95" t="n">
        <v>-0.01324914</v>
      </c>
      <c r="C591" s="43">
        <f>EXP(B591)-1</f>
        <v/>
      </c>
      <c r="D591" s="57">
        <f>B591*$B$11</f>
        <v/>
      </c>
    </row>
    <row r="592" ht="14" customHeight="1">
      <c r="A592" s="96" t="n">
        <v>578</v>
      </c>
      <c r="B592" s="97" t="n">
        <v>-0.00312683</v>
      </c>
      <c r="C592" s="40">
        <f>EXP(B592)-1</f>
        <v/>
      </c>
      <c r="D592" s="59">
        <f>B592*$B$11</f>
        <v/>
      </c>
    </row>
    <row r="593" ht="14" customHeight="1">
      <c r="A593" s="94" t="n">
        <v>579</v>
      </c>
      <c r="B593" s="95" t="n">
        <v>-0.01772531</v>
      </c>
      <c r="C593" s="43">
        <f>EXP(B593)-1</f>
        <v/>
      </c>
      <c r="D593" s="57">
        <f>B593*$B$11</f>
        <v/>
      </c>
    </row>
    <row r="594" ht="14" customHeight="1">
      <c r="A594" s="96" t="n">
        <v>580</v>
      </c>
      <c r="B594" s="97" t="n">
        <v>0.00780885</v>
      </c>
      <c r="C594" s="40">
        <f>EXP(B594)-1</f>
        <v/>
      </c>
      <c r="D594" s="59">
        <f>B594*$B$11</f>
        <v/>
      </c>
    </row>
    <row r="595" ht="14" customHeight="1">
      <c r="A595" s="94" t="n">
        <v>581</v>
      </c>
      <c r="B595" s="95" t="n">
        <v>-0.00255383</v>
      </c>
      <c r="C595" s="43">
        <f>EXP(B595)-1</f>
        <v/>
      </c>
      <c r="D595" s="57">
        <f>B595*$B$11</f>
        <v/>
      </c>
    </row>
    <row r="596" ht="14" customHeight="1">
      <c r="A596" s="96" t="n">
        <v>582</v>
      </c>
      <c r="B596" s="97" t="n">
        <v>0.0234388</v>
      </c>
      <c r="C596" s="40">
        <f>EXP(B596)-1</f>
        <v/>
      </c>
      <c r="D596" s="59">
        <f>B596*$B$11</f>
        <v/>
      </c>
    </row>
    <row r="597" ht="14" customHeight="1">
      <c r="A597" s="94" t="n">
        <v>583</v>
      </c>
      <c r="B597" s="95" t="n">
        <v>0.00263207</v>
      </c>
      <c r="C597" s="43">
        <f>EXP(B597)-1</f>
        <v/>
      </c>
      <c r="D597" s="57">
        <f>B597*$B$11</f>
        <v/>
      </c>
    </row>
    <row r="598" ht="14" customHeight="1">
      <c r="A598" s="96" t="n">
        <v>584</v>
      </c>
      <c r="B598" s="97" t="n">
        <v>-0.00431616</v>
      </c>
      <c r="C598" s="40">
        <f>EXP(B598)-1</f>
        <v/>
      </c>
      <c r="D598" s="59">
        <f>B598*$B$11</f>
        <v/>
      </c>
    </row>
    <row r="599" ht="14" customHeight="1">
      <c r="A599" s="94" t="n">
        <v>585</v>
      </c>
      <c r="B599" s="95" t="n">
        <v>0.00675327</v>
      </c>
      <c r="C599" s="43">
        <f>EXP(B599)-1</f>
        <v/>
      </c>
      <c r="D599" s="57">
        <f>B599*$B$11</f>
        <v/>
      </c>
    </row>
    <row r="600" ht="14" customHeight="1">
      <c r="A600" s="96" t="n">
        <v>586</v>
      </c>
      <c r="B600" s="97" t="n">
        <v>-0.00592474</v>
      </c>
      <c r="C600" s="40">
        <f>EXP(B600)-1</f>
        <v/>
      </c>
      <c r="D600" s="59">
        <f>B600*$B$11</f>
        <v/>
      </c>
    </row>
    <row r="601" ht="14" customHeight="1">
      <c r="A601" s="94" t="n">
        <v>587</v>
      </c>
      <c r="B601" s="95" t="n">
        <v>-0.0159217</v>
      </c>
      <c r="C601" s="43">
        <f>EXP(B601)-1</f>
        <v/>
      </c>
      <c r="D601" s="57">
        <f>B601*$B$11</f>
        <v/>
      </c>
    </row>
    <row r="602" ht="14" customHeight="1">
      <c r="A602" s="96" t="n">
        <v>588</v>
      </c>
      <c r="B602" s="97" t="n">
        <v>0.00377337</v>
      </c>
      <c r="C602" s="40">
        <f>EXP(B602)-1</f>
        <v/>
      </c>
      <c r="D602" s="59">
        <f>B602*$B$11</f>
        <v/>
      </c>
    </row>
    <row r="603" ht="14" customHeight="1">
      <c r="A603" s="94" t="n">
        <v>589</v>
      </c>
      <c r="B603" s="95" t="n">
        <v>-0.00194843</v>
      </c>
      <c r="C603" s="43">
        <f>EXP(B603)-1</f>
        <v/>
      </c>
      <c r="D603" s="57">
        <f>B603*$B$11</f>
        <v/>
      </c>
    </row>
    <row r="604" ht="14" customHeight="1">
      <c r="A604" s="96" t="n">
        <v>590</v>
      </c>
      <c r="B604" s="97" t="n">
        <v>0.00214578</v>
      </c>
      <c r="C604" s="40">
        <f>EXP(B604)-1</f>
        <v/>
      </c>
      <c r="D604" s="59">
        <f>B604*$B$11</f>
        <v/>
      </c>
    </row>
    <row r="605" ht="14" customHeight="1">
      <c r="A605" s="94" t="n">
        <v>591</v>
      </c>
      <c r="B605" s="95" t="n">
        <v>0.00465549</v>
      </c>
      <c r="C605" s="43">
        <f>EXP(B605)-1</f>
        <v/>
      </c>
      <c r="D605" s="57">
        <f>B605*$B$11</f>
        <v/>
      </c>
    </row>
    <row r="606" ht="14" customHeight="1">
      <c r="A606" s="96" t="n">
        <v>592</v>
      </c>
      <c r="B606" s="97" t="n">
        <v>-0.00597384</v>
      </c>
      <c r="C606" s="40">
        <f>EXP(B606)-1</f>
        <v/>
      </c>
      <c r="D606" s="59">
        <f>B606*$B$11</f>
        <v/>
      </c>
    </row>
    <row r="607" ht="14" customHeight="1">
      <c r="A607" s="94" t="n">
        <v>593</v>
      </c>
      <c r="B607" s="95" t="n">
        <v>0.00520892</v>
      </c>
      <c r="C607" s="43">
        <f>EXP(B607)-1</f>
        <v/>
      </c>
      <c r="D607" s="57">
        <f>B607*$B$11</f>
        <v/>
      </c>
    </row>
    <row r="608" ht="14" customHeight="1">
      <c r="A608" s="96" t="n">
        <v>594</v>
      </c>
      <c r="B608" s="97" t="n">
        <v>0.02100236</v>
      </c>
      <c r="C608" s="40">
        <f>EXP(B608)-1</f>
        <v/>
      </c>
      <c r="D608" s="59">
        <f>B608*$B$11</f>
        <v/>
      </c>
    </row>
    <row r="609" ht="14" customHeight="1">
      <c r="A609" s="94" t="n">
        <v>595</v>
      </c>
      <c r="B609" s="95" t="n">
        <v>-0.01314359</v>
      </c>
      <c r="C609" s="43">
        <f>EXP(B609)-1</f>
        <v/>
      </c>
      <c r="D609" s="57">
        <f>B609*$B$11</f>
        <v/>
      </c>
    </row>
    <row r="610" ht="14" customHeight="1">
      <c r="A610" s="96" t="n">
        <v>596</v>
      </c>
      <c r="B610" s="97" t="n">
        <v>0.02099911</v>
      </c>
      <c r="C610" s="40">
        <f>EXP(B610)-1</f>
        <v/>
      </c>
      <c r="D610" s="59">
        <f>B610*$B$11</f>
        <v/>
      </c>
    </row>
    <row r="611" ht="14" customHeight="1">
      <c r="A611" s="94" t="n">
        <v>597</v>
      </c>
      <c r="B611" s="95" t="n">
        <v>-0.00276364</v>
      </c>
      <c r="C611" s="43">
        <f>EXP(B611)-1</f>
        <v/>
      </c>
      <c r="D611" s="57">
        <f>B611*$B$11</f>
        <v/>
      </c>
    </row>
    <row r="612" ht="14" customHeight="1">
      <c r="A612" s="96" t="n">
        <v>598</v>
      </c>
      <c r="B612" s="97" t="n">
        <v>-0.00904952</v>
      </c>
      <c r="C612" s="40">
        <f>EXP(B612)-1</f>
        <v/>
      </c>
      <c r="D612" s="59">
        <f>B612*$B$11</f>
        <v/>
      </c>
    </row>
    <row r="613" ht="14" customHeight="1">
      <c r="A613" s="94" t="n">
        <v>599</v>
      </c>
      <c r="B613" s="95" t="n">
        <v>0.02927665</v>
      </c>
      <c r="C613" s="43">
        <f>EXP(B613)-1</f>
        <v/>
      </c>
      <c r="D613" s="57">
        <f>B613*$B$11</f>
        <v/>
      </c>
    </row>
    <row r="614" ht="14" customHeight="1">
      <c r="A614" s="96" t="n">
        <v>600</v>
      </c>
      <c r="B614" s="97" t="n">
        <v>0.00201026</v>
      </c>
      <c r="C614" s="40">
        <f>EXP(B614)-1</f>
        <v/>
      </c>
      <c r="D614" s="59">
        <f>B614*$B$11</f>
        <v/>
      </c>
    </row>
    <row r="615" ht="14" customHeight="1">
      <c r="A615" s="94" t="n">
        <v>601</v>
      </c>
      <c r="B615" s="95" t="n">
        <v>0.01659484</v>
      </c>
      <c r="C615" s="43">
        <f>EXP(B615)-1</f>
        <v/>
      </c>
      <c r="D615" s="57">
        <f>B615*$B$11</f>
        <v/>
      </c>
    </row>
    <row r="616" ht="14" customHeight="1">
      <c r="A616" s="96" t="n">
        <v>602</v>
      </c>
      <c r="B616" s="97" t="n">
        <v>0.00996113</v>
      </c>
      <c r="C616" s="40">
        <f>EXP(B616)-1</f>
        <v/>
      </c>
      <c r="D616" s="59">
        <f>B616*$B$11</f>
        <v/>
      </c>
    </row>
    <row r="617" ht="14" customHeight="1">
      <c r="A617" s="94" t="n">
        <v>603</v>
      </c>
      <c r="B617" s="95" t="n">
        <v>-0.02001714</v>
      </c>
      <c r="C617" s="43">
        <f>EXP(B617)-1</f>
        <v/>
      </c>
      <c r="D617" s="57">
        <f>B617*$B$11</f>
        <v/>
      </c>
    </row>
    <row r="618" ht="14" customHeight="1">
      <c r="A618" s="96" t="n">
        <v>604</v>
      </c>
      <c r="B618" s="97" t="n">
        <v>0.00159984</v>
      </c>
      <c r="C618" s="40">
        <f>EXP(B618)-1</f>
        <v/>
      </c>
      <c r="D618" s="59">
        <f>B618*$B$11</f>
        <v/>
      </c>
    </row>
    <row r="619" ht="14" customHeight="1">
      <c r="A619" s="94" t="n">
        <v>605</v>
      </c>
      <c r="B619" s="95" t="n">
        <v>-0.00615384</v>
      </c>
      <c r="C619" s="43">
        <f>EXP(B619)-1</f>
        <v/>
      </c>
      <c r="D619" s="57">
        <f>B619*$B$11</f>
        <v/>
      </c>
    </row>
    <row r="620" ht="14" customHeight="1">
      <c r="A620" s="96" t="n">
        <v>606</v>
      </c>
      <c r="B620" s="97" t="n">
        <v>-0.01595151</v>
      </c>
      <c r="C620" s="40">
        <f>EXP(B620)-1</f>
        <v/>
      </c>
      <c r="D620" s="59">
        <f>B620*$B$11</f>
        <v/>
      </c>
    </row>
    <row r="621" ht="14" customHeight="1">
      <c r="A621" s="94" t="n">
        <v>607</v>
      </c>
      <c r="B621" s="95" t="n">
        <v>-0.02111054</v>
      </c>
      <c r="C621" s="43">
        <f>EXP(B621)-1</f>
        <v/>
      </c>
      <c r="D621" s="57">
        <f>B621*$B$11</f>
        <v/>
      </c>
    </row>
    <row r="622" ht="14" customHeight="1">
      <c r="A622" s="96" t="n">
        <v>608</v>
      </c>
      <c r="B622" s="97" t="n">
        <v>0.00137748</v>
      </c>
      <c r="C622" s="40">
        <f>EXP(B622)-1</f>
        <v/>
      </c>
      <c r="D622" s="59">
        <f>B622*$B$11</f>
        <v/>
      </c>
    </row>
    <row r="623" ht="14" customHeight="1">
      <c r="A623" s="94" t="n">
        <v>609</v>
      </c>
      <c r="B623" s="95" t="n">
        <v>0.00723304</v>
      </c>
      <c r="C623" s="43">
        <f>EXP(B623)-1</f>
        <v/>
      </c>
      <c r="D623" s="57">
        <f>B623*$B$11</f>
        <v/>
      </c>
    </row>
    <row r="624" ht="14" customHeight="1">
      <c r="A624" s="96" t="n">
        <v>610</v>
      </c>
      <c r="B624" s="97" t="n">
        <v>0.00483802</v>
      </c>
      <c r="C624" s="40">
        <f>EXP(B624)-1</f>
        <v/>
      </c>
      <c r="D624" s="59">
        <f>B624*$B$11</f>
        <v/>
      </c>
    </row>
    <row r="625" ht="14" customHeight="1">
      <c r="A625" s="94" t="n">
        <v>611</v>
      </c>
      <c r="B625" s="95" t="n">
        <v>-0.00351994</v>
      </c>
      <c r="C625" s="43">
        <f>EXP(B625)-1</f>
        <v/>
      </c>
      <c r="D625" s="57">
        <f>B625*$B$11</f>
        <v/>
      </c>
    </row>
    <row r="626" ht="14" customHeight="1">
      <c r="A626" s="96" t="n">
        <v>612</v>
      </c>
      <c r="B626" s="97" t="n">
        <v>-0.0094322</v>
      </c>
      <c r="C626" s="40">
        <f>EXP(B626)-1</f>
        <v/>
      </c>
      <c r="D626" s="59">
        <f>B626*$B$11</f>
        <v/>
      </c>
    </row>
    <row r="627" ht="14" customHeight="1">
      <c r="A627" s="94" t="n">
        <v>613</v>
      </c>
      <c r="B627" s="95" t="n">
        <v>-0.01169233</v>
      </c>
      <c r="C627" s="43">
        <f>EXP(B627)-1</f>
        <v/>
      </c>
      <c r="D627" s="57">
        <f>B627*$B$11</f>
        <v/>
      </c>
    </row>
    <row r="628" ht="14" customHeight="1">
      <c r="A628" s="96" t="n">
        <v>614</v>
      </c>
      <c r="B628" s="97" t="n">
        <v>-0.00651193</v>
      </c>
      <c r="C628" s="40">
        <f>EXP(B628)-1</f>
        <v/>
      </c>
      <c r="D628" s="59">
        <f>B628*$B$11</f>
        <v/>
      </c>
    </row>
    <row r="629" ht="14" customHeight="1">
      <c r="A629" s="94" t="n">
        <v>615</v>
      </c>
      <c r="B629" s="95" t="n">
        <v>-0.01224666</v>
      </c>
      <c r="C629" s="43">
        <f>EXP(B629)-1</f>
        <v/>
      </c>
      <c r="D629" s="57">
        <f>B629*$B$11</f>
        <v/>
      </c>
    </row>
    <row r="630" ht="14" customHeight="1">
      <c r="A630" s="96" t="n">
        <v>616</v>
      </c>
      <c r="B630" s="97" t="n">
        <v>-0.0022893</v>
      </c>
      <c r="C630" s="40">
        <f>EXP(B630)-1</f>
        <v/>
      </c>
      <c r="D630" s="59">
        <f>B630*$B$11</f>
        <v/>
      </c>
    </row>
    <row r="631" ht="14" customHeight="1">
      <c r="A631" s="94" t="n">
        <v>617</v>
      </c>
      <c r="B631" s="95" t="n">
        <v>-0.00012465</v>
      </c>
      <c r="C631" s="43">
        <f>EXP(B631)-1</f>
        <v/>
      </c>
      <c r="D631" s="57">
        <f>B631*$B$11</f>
        <v/>
      </c>
    </row>
    <row r="632" ht="14" customHeight="1">
      <c r="A632" s="96" t="n">
        <v>618</v>
      </c>
      <c r="B632" s="97" t="n">
        <v>-0.01060186</v>
      </c>
      <c r="C632" s="40">
        <f>EXP(B632)-1</f>
        <v/>
      </c>
      <c r="D632" s="59">
        <f>B632*$B$11</f>
        <v/>
      </c>
    </row>
    <row r="633" ht="14" customHeight="1">
      <c r="A633" s="94" t="n">
        <v>619</v>
      </c>
      <c r="B633" s="95" t="n">
        <v>-0.0026346</v>
      </c>
      <c r="C633" s="43">
        <f>EXP(B633)-1</f>
        <v/>
      </c>
      <c r="D633" s="57">
        <f>B633*$B$11</f>
        <v/>
      </c>
    </row>
    <row r="634" ht="14" customHeight="1">
      <c r="A634" s="96" t="n">
        <v>620</v>
      </c>
      <c r="B634" s="97" t="n">
        <v>-0.00897384</v>
      </c>
      <c r="C634" s="40">
        <f>EXP(B634)-1</f>
        <v/>
      </c>
      <c r="D634" s="59">
        <f>B634*$B$11</f>
        <v/>
      </c>
    </row>
    <row r="635" ht="14" customHeight="1">
      <c r="A635" s="94" t="n">
        <v>621</v>
      </c>
      <c r="B635" s="95" t="n">
        <v>9.632999999999999e-05</v>
      </c>
      <c r="C635" s="43">
        <f>EXP(B635)-1</f>
        <v/>
      </c>
      <c r="D635" s="57">
        <f>B635*$B$11</f>
        <v/>
      </c>
    </row>
    <row r="636" ht="14" customHeight="1">
      <c r="A636" s="96" t="n">
        <v>622</v>
      </c>
      <c r="B636" s="97" t="n">
        <v>0.00623505</v>
      </c>
      <c r="C636" s="40">
        <f>EXP(B636)-1</f>
        <v/>
      </c>
      <c r="D636" s="59">
        <f>B636*$B$11</f>
        <v/>
      </c>
    </row>
    <row r="637" ht="14" customHeight="1">
      <c r="A637" s="94" t="n">
        <v>623</v>
      </c>
      <c r="B637" s="95" t="n">
        <v>0.0022875</v>
      </c>
      <c r="C637" s="43">
        <f>EXP(B637)-1</f>
        <v/>
      </c>
      <c r="D637" s="57">
        <f>B637*$B$11</f>
        <v/>
      </c>
    </row>
    <row r="638" ht="14" customHeight="1">
      <c r="A638" s="96" t="n">
        <v>624</v>
      </c>
      <c r="B638" s="97" t="n">
        <v>0.00581581</v>
      </c>
      <c r="C638" s="40">
        <f>EXP(B638)-1</f>
        <v/>
      </c>
      <c r="D638" s="59">
        <f>B638*$B$11</f>
        <v/>
      </c>
    </row>
    <row r="639" ht="14" customHeight="1">
      <c r="A639" s="94" t="n">
        <v>625</v>
      </c>
      <c r="B639" s="95" t="n">
        <v>-0.01967417</v>
      </c>
      <c r="C639" s="43">
        <f>EXP(B639)-1</f>
        <v/>
      </c>
      <c r="D639" s="57">
        <f>B639*$B$11</f>
        <v/>
      </c>
    </row>
    <row r="640" ht="14" customHeight="1">
      <c r="A640" s="96" t="n">
        <v>626</v>
      </c>
      <c r="B640" s="97" t="n">
        <v>-0.00439436</v>
      </c>
      <c r="C640" s="40">
        <f>EXP(B640)-1</f>
        <v/>
      </c>
      <c r="D640" s="59">
        <f>B640*$B$11</f>
        <v/>
      </c>
    </row>
    <row r="641" ht="14" customHeight="1">
      <c r="A641" s="94" t="n">
        <v>627</v>
      </c>
      <c r="B641" s="95" t="n">
        <v>0.00347087</v>
      </c>
      <c r="C641" s="43">
        <f>EXP(B641)-1</f>
        <v/>
      </c>
      <c r="D641" s="57">
        <f>B641*$B$11</f>
        <v/>
      </c>
    </row>
    <row r="642" ht="14" customHeight="1">
      <c r="A642" s="96" t="n">
        <v>628</v>
      </c>
      <c r="B642" s="97" t="n">
        <v>0.007843950000000001</v>
      </c>
      <c r="C642" s="40">
        <f>EXP(B642)-1</f>
        <v/>
      </c>
      <c r="D642" s="59">
        <f>B642*$B$11</f>
        <v/>
      </c>
    </row>
    <row r="643" ht="14" customHeight="1">
      <c r="A643" s="94" t="n">
        <v>629</v>
      </c>
      <c r="B643" s="95" t="n">
        <v>-0.01902604</v>
      </c>
      <c r="C643" s="43">
        <f>EXP(B643)-1</f>
        <v/>
      </c>
      <c r="D643" s="57">
        <f>B643*$B$11</f>
        <v/>
      </c>
    </row>
    <row r="644" ht="14" customHeight="1">
      <c r="A644" s="96" t="n">
        <v>630</v>
      </c>
      <c r="B644" s="97" t="n">
        <v>0.00206014</v>
      </c>
      <c r="C644" s="40">
        <f>EXP(B644)-1</f>
        <v/>
      </c>
      <c r="D644" s="59">
        <f>B644*$B$11</f>
        <v/>
      </c>
    </row>
    <row r="645" ht="14" customHeight="1">
      <c r="A645" s="94" t="n">
        <v>631</v>
      </c>
      <c r="B645" s="95" t="n">
        <v>0.01462705</v>
      </c>
      <c r="C645" s="43">
        <f>EXP(B645)-1</f>
        <v/>
      </c>
      <c r="D645" s="57">
        <f>B645*$B$11</f>
        <v/>
      </c>
    </row>
    <row r="646" ht="14" customHeight="1">
      <c r="A646" s="96" t="n">
        <v>632</v>
      </c>
      <c r="B646" s="97" t="n">
        <v>-0.00199333</v>
      </c>
      <c r="C646" s="40">
        <f>EXP(B646)-1</f>
        <v/>
      </c>
      <c r="D646" s="59">
        <f>B646*$B$11</f>
        <v/>
      </c>
    </row>
    <row r="647" ht="14" customHeight="1">
      <c r="A647" s="94" t="n">
        <v>633</v>
      </c>
      <c r="B647" s="95" t="n">
        <v>-0.0009871000000000001</v>
      </c>
      <c r="C647" s="43">
        <f>EXP(B647)-1</f>
        <v/>
      </c>
      <c r="D647" s="57">
        <f>B647*$B$11</f>
        <v/>
      </c>
    </row>
    <row r="648" ht="14" customHeight="1">
      <c r="A648" s="96" t="n">
        <v>634</v>
      </c>
      <c r="B648" s="97" t="n">
        <v>0.00555548</v>
      </c>
      <c r="C648" s="40">
        <f>EXP(B648)-1</f>
        <v/>
      </c>
      <c r="D648" s="59">
        <f>B648*$B$11</f>
        <v/>
      </c>
    </row>
    <row r="649" ht="14" customHeight="1">
      <c r="A649" s="94" t="n">
        <v>635</v>
      </c>
      <c r="B649" s="95" t="n">
        <v>0.00311542</v>
      </c>
      <c r="C649" s="43">
        <f>EXP(B649)-1</f>
        <v/>
      </c>
      <c r="D649" s="57">
        <f>B649*$B$11</f>
        <v/>
      </c>
    </row>
    <row r="650" ht="14" customHeight="1">
      <c r="A650" s="96" t="n">
        <v>636</v>
      </c>
      <c r="B650" s="97" t="n">
        <v>0.00824565</v>
      </c>
      <c r="C650" s="40">
        <f>EXP(B650)-1</f>
        <v/>
      </c>
      <c r="D650" s="59">
        <f>B650*$B$11</f>
        <v/>
      </c>
    </row>
    <row r="651" ht="14" customHeight="1">
      <c r="A651" s="94" t="n">
        <v>637</v>
      </c>
      <c r="B651" s="95" t="n">
        <v>0.00101897</v>
      </c>
      <c r="C651" s="43">
        <f>EXP(B651)-1</f>
        <v/>
      </c>
      <c r="D651" s="57">
        <f>B651*$B$11</f>
        <v/>
      </c>
    </row>
    <row r="652" ht="14" customHeight="1">
      <c r="A652" s="96" t="n">
        <v>638</v>
      </c>
      <c r="B652" s="97" t="n">
        <v>0.00197995</v>
      </c>
      <c r="C652" s="40">
        <f>EXP(B652)-1</f>
        <v/>
      </c>
      <c r="D652" s="59">
        <f>B652*$B$11</f>
        <v/>
      </c>
    </row>
    <row r="653" ht="14" customHeight="1">
      <c r="A653" s="94" t="n">
        <v>639</v>
      </c>
      <c r="B653" s="95" t="n">
        <v>-0.00923933</v>
      </c>
      <c r="C653" s="43">
        <f>EXP(B653)-1</f>
        <v/>
      </c>
      <c r="D653" s="57">
        <f>B653*$B$11</f>
        <v/>
      </c>
    </row>
    <row r="654" ht="14" customHeight="1">
      <c r="A654" s="96" t="n">
        <v>640</v>
      </c>
      <c r="B654" s="97" t="n">
        <v>-0.00189525</v>
      </c>
      <c r="C654" s="40">
        <f>EXP(B654)-1</f>
        <v/>
      </c>
      <c r="D654" s="59">
        <f>B654*$B$11</f>
        <v/>
      </c>
    </row>
    <row r="655" ht="14" customHeight="1">
      <c r="A655" s="94" t="n">
        <v>641</v>
      </c>
      <c r="B655" s="95" t="n">
        <v>0.01518746</v>
      </c>
      <c r="C655" s="43">
        <f>EXP(B655)-1</f>
        <v/>
      </c>
      <c r="D655" s="57">
        <f>B655*$B$11</f>
        <v/>
      </c>
    </row>
    <row r="656" ht="14" customHeight="1">
      <c r="A656" s="96" t="n">
        <v>642</v>
      </c>
      <c r="B656" s="97" t="n">
        <v>-0.00230004</v>
      </c>
      <c r="C656" s="40">
        <f>EXP(B656)-1</f>
        <v/>
      </c>
      <c r="D656" s="59">
        <f>B656*$B$11</f>
        <v/>
      </c>
    </row>
    <row r="657" ht="14" customHeight="1">
      <c r="A657" s="94" t="n">
        <v>643</v>
      </c>
      <c r="B657" s="95" t="n">
        <v>-0.00187277</v>
      </c>
      <c r="C657" s="43">
        <f>EXP(B657)-1</f>
        <v/>
      </c>
      <c r="D657" s="57">
        <f>B657*$B$11</f>
        <v/>
      </c>
    </row>
    <row r="658" ht="14" customHeight="1">
      <c r="A658" s="96" t="n">
        <v>644</v>
      </c>
      <c r="B658" s="97" t="n">
        <v>-0.00574804</v>
      </c>
      <c r="C658" s="40">
        <f>EXP(B658)-1</f>
        <v/>
      </c>
      <c r="D658" s="59">
        <f>B658*$B$11</f>
        <v/>
      </c>
    </row>
    <row r="659" ht="14" customHeight="1">
      <c r="A659" s="94" t="n">
        <v>645</v>
      </c>
      <c r="B659" s="95" t="n">
        <v>0.009596230000000001</v>
      </c>
      <c r="C659" s="43">
        <f>EXP(B659)-1</f>
        <v/>
      </c>
      <c r="D659" s="57">
        <f>B659*$B$11</f>
        <v/>
      </c>
    </row>
    <row r="660" ht="14" customHeight="1">
      <c r="A660" s="96" t="n">
        <v>646</v>
      </c>
      <c r="B660" s="97" t="n">
        <v>-0.01010615</v>
      </c>
      <c r="C660" s="40">
        <f>EXP(B660)-1</f>
        <v/>
      </c>
      <c r="D660" s="59">
        <f>B660*$B$11</f>
        <v/>
      </c>
    </row>
    <row r="661" ht="14" customHeight="1">
      <c r="A661" s="94" t="n">
        <v>647</v>
      </c>
      <c r="B661" s="95" t="n">
        <v>0.01107603</v>
      </c>
      <c r="C661" s="43">
        <f>EXP(B661)-1</f>
        <v/>
      </c>
      <c r="D661" s="57">
        <f>B661*$B$11</f>
        <v/>
      </c>
    </row>
    <row r="662" ht="14" customHeight="1">
      <c r="A662" s="96" t="n">
        <v>648</v>
      </c>
      <c r="B662" s="97" t="n">
        <v>-0.01109368</v>
      </c>
      <c r="C662" s="40">
        <f>EXP(B662)-1</f>
        <v/>
      </c>
      <c r="D662" s="59">
        <f>B662*$B$11</f>
        <v/>
      </c>
    </row>
    <row r="663" ht="14" customHeight="1">
      <c r="A663" s="94" t="n">
        <v>649</v>
      </c>
      <c r="B663" s="95" t="n">
        <v>-0.01254337</v>
      </c>
      <c r="C663" s="43">
        <f>EXP(B663)-1</f>
        <v/>
      </c>
      <c r="D663" s="57">
        <f>B663*$B$11</f>
        <v/>
      </c>
    </row>
    <row r="664" ht="14" customHeight="1">
      <c r="A664" s="96" t="n">
        <v>650</v>
      </c>
      <c r="B664" s="97" t="n">
        <v>0.00262127</v>
      </c>
      <c r="C664" s="40">
        <f>EXP(B664)-1</f>
        <v/>
      </c>
      <c r="D664" s="59">
        <f>B664*$B$11</f>
        <v/>
      </c>
    </row>
    <row r="665" ht="14" customHeight="1">
      <c r="A665" s="94" t="n">
        <v>651</v>
      </c>
      <c r="B665" s="95" t="n">
        <v>0.00171215</v>
      </c>
      <c r="C665" s="43">
        <f>EXP(B665)-1</f>
        <v/>
      </c>
      <c r="D665" s="57">
        <f>B665*$B$11</f>
        <v/>
      </c>
    </row>
    <row r="666" ht="14" customHeight="1">
      <c r="A666" s="96" t="n">
        <v>652</v>
      </c>
      <c r="B666" s="97" t="n">
        <v>0.00372069</v>
      </c>
      <c r="C666" s="40">
        <f>EXP(B666)-1</f>
        <v/>
      </c>
      <c r="D666" s="59">
        <f>B666*$B$11</f>
        <v/>
      </c>
    </row>
    <row r="667" ht="14" customHeight="1">
      <c r="A667" s="94" t="n">
        <v>653</v>
      </c>
      <c r="B667" s="95" t="n">
        <v>0.01290045</v>
      </c>
      <c r="C667" s="43">
        <f>EXP(B667)-1</f>
        <v/>
      </c>
      <c r="D667" s="57">
        <f>B667*$B$11</f>
        <v/>
      </c>
    </row>
    <row r="668" ht="14" customHeight="1">
      <c r="A668" s="96" t="n">
        <v>654</v>
      </c>
      <c r="B668" s="97" t="n">
        <v>-0.00479995</v>
      </c>
      <c r="C668" s="40">
        <f>EXP(B668)-1</f>
        <v/>
      </c>
      <c r="D668" s="59">
        <f>B668*$B$11</f>
        <v/>
      </c>
    </row>
    <row r="669" ht="14" customHeight="1">
      <c r="A669" s="94" t="n">
        <v>655</v>
      </c>
      <c r="B669" s="95" t="n">
        <v>0.00546592</v>
      </c>
      <c r="C669" s="43">
        <f>EXP(B669)-1</f>
        <v/>
      </c>
      <c r="D669" s="57">
        <f>B669*$B$11</f>
        <v/>
      </c>
    </row>
    <row r="670" ht="14" customHeight="1">
      <c r="A670" s="96" t="n">
        <v>656</v>
      </c>
      <c r="B670" s="97" t="n">
        <v>-0.01076781</v>
      </c>
      <c r="C670" s="40">
        <f>EXP(B670)-1</f>
        <v/>
      </c>
      <c r="D670" s="59">
        <f>B670*$B$11</f>
        <v/>
      </c>
    </row>
    <row r="671" ht="14" customHeight="1">
      <c r="A671" s="94" t="n">
        <v>657</v>
      </c>
      <c r="B671" s="95" t="n">
        <v>0.01526003</v>
      </c>
      <c r="C671" s="43">
        <f>EXP(B671)-1</f>
        <v/>
      </c>
      <c r="D671" s="57">
        <f>B671*$B$11</f>
        <v/>
      </c>
    </row>
    <row r="672" ht="14" customHeight="1">
      <c r="A672" s="96" t="n">
        <v>658</v>
      </c>
      <c r="B672" s="97" t="n">
        <v>0.0077395</v>
      </c>
      <c r="C672" s="40">
        <f>EXP(B672)-1</f>
        <v/>
      </c>
      <c r="D672" s="59">
        <f>B672*$B$11</f>
        <v/>
      </c>
    </row>
    <row r="673" ht="14" customHeight="1">
      <c r="A673" s="94" t="n">
        <v>659</v>
      </c>
      <c r="B673" s="95" t="n">
        <v>0.00658823</v>
      </c>
      <c r="C673" s="43">
        <f>EXP(B673)-1</f>
        <v/>
      </c>
      <c r="D673" s="57">
        <f>B673*$B$11</f>
        <v/>
      </c>
    </row>
    <row r="674" ht="14" customHeight="1">
      <c r="A674" s="96" t="n">
        <v>660</v>
      </c>
      <c r="B674" s="97" t="n">
        <v>0.00240454</v>
      </c>
      <c r="C674" s="40">
        <f>EXP(B674)-1</f>
        <v/>
      </c>
      <c r="D674" s="59">
        <f>B674*$B$11</f>
        <v/>
      </c>
    </row>
    <row r="675" ht="14" customHeight="1">
      <c r="A675" s="94" t="n">
        <v>661</v>
      </c>
      <c r="B675" s="95" t="n">
        <v>-0.009277189999999999</v>
      </c>
      <c r="C675" s="43">
        <f>EXP(B675)-1</f>
        <v/>
      </c>
      <c r="D675" s="57">
        <f>B675*$B$11</f>
        <v/>
      </c>
    </row>
    <row r="676" ht="14" customHeight="1">
      <c r="A676" s="96" t="n">
        <v>662</v>
      </c>
      <c r="B676" s="97" t="n">
        <v>-0.00377846</v>
      </c>
      <c r="C676" s="40">
        <f>EXP(B676)-1</f>
        <v/>
      </c>
      <c r="D676" s="59">
        <f>B676*$B$11</f>
        <v/>
      </c>
    </row>
    <row r="677" ht="14" customHeight="1">
      <c r="A677" s="94" t="n">
        <v>663</v>
      </c>
      <c r="B677" s="95" t="n">
        <v>0.00617135</v>
      </c>
      <c r="C677" s="43">
        <f>EXP(B677)-1</f>
        <v/>
      </c>
      <c r="D677" s="57">
        <f>B677*$B$11</f>
        <v/>
      </c>
    </row>
    <row r="678" ht="14" customHeight="1">
      <c r="A678" s="96" t="n">
        <v>664</v>
      </c>
      <c r="B678" s="97" t="n">
        <v>-8.021000000000001e-05</v>
      </c>
      <c r="C678" s="40">
        <f>EXP(B678)-1</f>
        <v/>
      </c>
      <c r="D678" s="59">
        <f>B678*$B$11</f>
        <v/>
      </c>
    </row>
    <row r="679" ht="14" customHeight="1">
      <c r="A679" s="94" t="n">
        <v>665</v>
      </c>
      <c r="B679" s="95" t="n">
        <v>0.00163494</v>
      </c>
      <c r="C679" s="43">
        <f>EXP(B679)-1</f>
        <v/>
      </c>
      <c r="D679" s="57">
        <f>B679*$B$11</f>
        <v/>
      </c>
    </row>
    <row r="680" ht="14" customHeight="1">
      <c r="A680" s="96" t="n">
        <v>666</v>
      </c>
      <c r="B680" s="97" t="n">
        <v>-0.01616783</v>
      </c>
      <c r="C680" s="40">
        <f>EXP(B680)-1</f>
        <v/>
      </c>
      <c r="D680" s="59">
        <f>B680*$B$11</f>
        <v/>
      </c>
    </row>
    <row r="681" ht="14" customHeight="1">
      <c r="A681" s="94" t="n">
        <v>667</v>
      </c>
      <c r="B681" s="95" t="n">
        <v>0.00232313</v>
      </c>
      <c r="C681" s="43">
        <f>EXP(B681)-1</f>
        <v/>
      </c>
      <c r="D681" s="57">
        <f>B681*$B$11</f>
        <v/>
      </c>
    </row>
    <row r="682" ht="14" customHeight="1">
      <c r="A682" s="96" t="n">
        <v>668</v>
      </c>
      <c r="B682" s="97" t="n">
        <v>-0.00815313</v>
      </c>
      <c r="C682" s="40">
        <f>EXP(B682)-1</f>
        <v/>
      </c>
      <c r="D682" s="59">
        <f>B682*$B$11</f>
        <v/>
      </c>
    </row>
    <row r="683" ht="14" customHeight="1">
      <c r="A683" s="94" t="n">
        <v>669</v>
      </c>
      <c r="B683" s="95" t="n">
        <v>-0.01285004</v>
      </c>
      <c r="C683" s="43">
        <f>EXP(B683)-1</f>
        <v/>
      </c>
      <c r="D683" s="57">
        <f>B683*$B$11</f>
        <v/>
      </c>
    </row>
    <row r="684" ht="14" customHeight="1">
      <c r="A684" s="96" t="n">
        <v>670</v>
      </c>
      <c r="B684" s="97" t="n">
        <v>-0.00170622</v>
      </c>
      <c r="C684" s="40">
        <f>EXP(B684)-1</f>
        <v/>
      </c>
      <c r="D684" s="59">
        <f>B684*$B$11</f>
        <v/>
      </c>
    </row>
    <row r="685" ht="14" customHeight="1">
      <c r="A685" s="94" t="n">
        <v>671</v>
      </c>
      <c r="B685" s="95" t="n">
        <v>-0.02212805</v>
      </c>
      <c r="C685" s="43">
        <f>EXP(B685)-1</f>
        <v/>
      </c>
      <c r="D685" s="57">
        <f>B685*$B$11</f>
        <v/>
      </c>
    </row>
    <row r="686" ht="14" customHeight="1">
      <c r="A686" s="96" t="n">
        <v>672</v>
      </c>
      <c r="B686" s="97" t="n">
        <v>0.00853284</v>
      </c>
      <c r="C686" s="40">
        <f>EXP(B686)-1</f>
        <v/>
      </c>
      <c r="D686" s="59">
        <f>B686*$B$11</f>
        <v/>
      </c>
    </row>
    <row r="687" ht="14" customHeight="1">
      <c r="A687" s="94" t="n">
        <v>673</v>
      </c>
      <c r="B687" s="95" t="n">
        <v>0.01037415</v>
      </c>
      <c r="C687" s="43">
        <f>EXP(B687)-1</f>
        <v/>
      </c>
      <c r="D687" s="57">
        <f>B687*$B$11</f>
        <v/>
      </c>
    </row>
    <row r="688" ht="14" customHeight="1">
      <c r="A688" s="96" t="n">
        <v>674</v>
      </c>
      <c r="B688" s="97" t="n">
        <v>-0.0004912300000000001</v>
      </c>
      <c r="C688" s="40">
        <f>EXP(B688)-1</f>
        <v/>
      </c>
      <c r="D688" s="59">
        <f>B688*$B$11</f>
        <v/>
      </c>
    </row>
    <row r="689" ht="14" customHeight="1">
      <c r="A689" s="94" t="n">
        <v>675</v>
      </c>
      <c r="B689" s="95" t="n">
        <v>-0.01177539</v>
      </c>
      <c r="C689" s="43">
        <f>EXP(B689)-1</f>
        <v/>
      </c>
      <c r="D689" s="57">
        <f>B689*$B$11</f>
        <v/>
      </c>
    </row>
    <row r="690" ht="14" customHeight="1">
      <c r="A690" s="96" t="n">
        <v>676</v>
      </c>
      <c r="B690" s="97" t="n">
        <v>-0.01119443</v>
      </c>
      <c r="C690" s="40">
        <f>EXP(B690)-1</f>
        <v/>
      </c>
      <c r="D690" s="59">
        <f>B690*$B$11</f>
        <v/>
      </c>
    </row>
    <row r="691" ht="14" customHeight="1">
      <c r="A691" s="94" t="n">
        <v>677</v>
      </c>
      <c r="B691" s="95" t="n">
        <v>-0.00166348</v>
      </c>
      <c r="C691" s="43">
        <f>EXP(B691)-1</f>
        <v/>
      </c>
      <c r="D691" s="57">
        <f>B691*$B$11</f>
        <v/>
      </c>
    </row>
    <row r="692" ht="14" customHeight="1">
      <c r="A692" s="96" t="n">
        <v>678</v>
      </c>
      <c r="B692" s="97" t="n">
        <v>-0.0289348</v>
      </c>
      <c r="C692" s="40">
        <f>EXP(B692)-1</f>
        <v/>
      </c>
      <c r="D692" s="59">
        <f>B692*$B$11</f>
        <v/>
      </c>
    </row>
    <row r="693" ht="14" customHeight="1">
      <c r="A693" s="94" t="n">
        <v>679</v>
      </c>
      <c r="B693" s="95" t="n">
        <v>0.00231572</v>
      </c>
      <c r="C693" s="43">
        <f>EXP(B693)-1</f>
        <v/>
      </c>
      <c r="D693" s="57">
        <f>B693*$B$11</f>
        <v/>
      </c>
    </row>
    <row r="694" ht="14" customHeight="1">
      <c r="A694" s="96" t="n">
        <v>680</v>
      </c>
      <c r="B694" s="97" t="n">
        <v>0.008123180000000001</v>
      </c>
      <c r="C694" s="40">
        <f>EXP(B694)-1</f>
        <v/>
      </c>
      <c r="D694" s="59">
        <f>B694*$B$11</f>
        <v/>
      </c>
    </row>
    <row r="695" ht="14" customHeight="1">
      <c r="A695" s="94" t="n">
        <v>681</v>
      </c>
      <c r="B695" s="95" t="n">
        <v>-0.00359274</v>
      </c>
      <c r="C695" s="43">
        <f>EXP(B695)-1</f>
        <v/>
      </c>
      <c r="D695" s="57">
        <f>B695*$B$11</f>
        <v/>
      </c>
    </row>
    <row r="696" ht="14" customHeight="1">
      <c r="A696" s="96" t="n">
        <v>682</v>
      </c>
      <c r="B696" s="97" t="n">
        <v>-0.00578283</v>
      </c>
      <c r="C696" s="40">
        <f>EXP(B696)-1</f>
        <v/>
      </c>
      <c r="D696" s="59">
        <f>B696*$B$11</f>
        <v/>
      </c>
    </row>
    <row r="697" ht="14" customHeight="1">
      <c r="A697" s="94" t="n">
        <v>683</v>
      </c>
      <c r="B697" s="95" t="n">
        <v>0.00233361</v>
      </c>
      <c r="C697" s="43">
        <f>EXP(B697)-1</f>
        <v/>
      </c>
      <c r="D697" s="57">
        <f>B697*$B$11</f>
        <v/>
      </c>
    </row>
    <row r="698" ht="14" customHeight="1">
      <c r="A698" s="96" t="n">
        <v>684</v>
      </c>
      <c r="B698" s="97" t="n">
        <v>0.00435773</v>
      </c>
      <c r="C698" s="40">
        <f>EXP(B698)-1</f>
        <v/>
      </c>
      <c r="D698" s="59">
        <f>B698*$B$11</f>
        <v/>
      </c>
    </row>
    <row r="699" ht="14" customHeight="1">
      <c r="A699" s="94" t="n">
        <v>685</v>
      </c>
      <c r="B699" s="95" t="n">
        <v>0.01327982</v>
      </c>
      <c r="C699" s="43">
        <f>EXP(B699)-1</f>
        <v/>
      </c>
      <c r="D699" s="57">
        <f>B699*$B$11</f>
        <v/>
      </c>
    </row>
    <row r="700" ht="14" customHeight="1">
      <c r="A700" s="96" t="n">
        <v>686</v>
      </c>
      <c r="B700" s="97" t="n">
        <v>0.00037076</v>
      </c>
      <c r="C700" s="40">
        <f>EXP(B700)-1</f>
        <v/>
      </c>
      <c r="D700" s="59">
        <f>B700*$B$11</f>
        <v/>
      </c>
    </row>
    <row r="701" ht="14" customHeight="1">
      <c r="A701" s="94" t="n">
        <v>687</v>
      </c>
      <c r="B701" s="95" t="n">
        <v>-0.00812709</v>
      </c>
      <c r="C701" s="43">
        <f>EXP(B701)-1</f>
        <v/>
      </c>
      <c r="D701" s="57">
        <f>B701*$B$11</f>
        <v/>
      </c>
    </row>
    <row r="702" ht="14" customHeight="1">
      <c r="A702" s="96" t="n">
        <v>688</v>
      </c>
      <c r="B702" s="97" t="n">
        <v>-0.00538518</v>
      </c>
      <c r="C702" s="40">
        <f>EXP(B702)-1</f>
        <v/>
      </c>
      <c r="D702" s="59">
        <f>B702*$B$11</f>
        <v/>
      </c>
    </row>
    <row r="703" ht="14" customHeight="1">
      <c r="A703" s="94" t="n">
        <v>689</v>
      </c>
      <c r="B703" s="95" t="n">
        <v>0.00233335</v>
      </c>
      <c r="C703" s="43">
        <f>EXP(B703)-1</f>
        <v/>
      </c>
      <c r="D703" s="57">
        <f>B703*$B$11</f>
        <v/>
      </c>
    </row>
    <row r="704" ht="14" customHeight="1">
      <c r="A704" s="96" t="n">
        <v>690</v>
      </c>
      <c r="B704" s="97" t="n">
        <v>0.0188244</v>
      </c>
      <c r="C704" s="40">
        <f>EXP(B704)-1</f>
        <v/>
      </c>
      <c r="D704" s="59">
        <f>B704*$B$11</f>
        <v/>
      </c>
    </row>
    <row r="705" ht="14" customHeight="1">
      <c r="A705" s="94" t="n">
        <v>691</v>
      </c>
      <c r="B705" s="95" t="n">
        <v>-0.00369328</v>
      </c>
      <c r="C705" s="43">
        <f>EXP(B705)-1</f>
        <v/>
      </c>
      <c r="D705" s="57">
        <f>B705*$B$11</f>
        <v/>
      </c>
    </row>
    <row r="706" ht="14" customHeight="1">
      <c r="A706" s="96" t="n">
        <v>692</v>
      </c>
      <c r="B706" s="97" t="n">
        <v>-0.01248032</v>
      </c>
      <c r="C706" s="40">
        <f>EXP(B706)-1</f>
        <v/>
      </c>
      <c r="D706" s="59">
        <f>B706*$B$11</f>
        <v/>
      </c>
    </row>
    <row r="707" ht="14" customHeight="1">
      <c r="A707" s="94" t="n">
        <v>693</v>
      </c>
      <c r="B707" s="95" t="n">
        <v>-0.01029128</v>
      </c>
      <c r="C707" s="43">
        <f>EXP(B707)-1</f>
        <v/>
      </c>
      <c r="D707" s="57">
        <f>B707*$B$11</f>
        <v/>
      </c>
    </row>
    <row r="708" ht="14" customHeight="1">
      <c r="A708" s="96" t="n">
        <v>694</v>
      </c>
      <c r="B708" s="97" t="n">
        <v>-0.02500602</v>
      </c>
      <c r="C708" s="40">
        <f>EXP(B708)-1</f>
        <v/>
      </c>
      <c r="D708" s="59">
        <f>B708*$B$11</f>
        <v/>
      </c>
    </row>
    <row r="709" ht="14" customHeight="1">
      <c r="A709" s="94" t="n">
        <v>695</v>
      </c>
      <c r="B709" s="95" t="n">
        <v>0.00410753</v>
      </c>
      <c r="C709" s="43">
        <f>EXP(B709)-1</f>
        <v/>
      </c>
      <c r="D709" s="57">
        <f>B709*$B$11</f>
        <v/>
      </c>
    </row>
    <row r="710" ht="14" customHeight="1">
      <c r="A710" s="96" t="n">
        <v>696</v>
      </c>
      <c r="B710" s="97" t="n">
        <v>-0.01618589</v>
      </c>
      <c r="C710" s="40">
        <f>EXP(B710)-1</f>
        <v/>
      </c>
      <c r="D710" s="59">
        <f>B710*$B$11</f>
        <v/>
      </c>
    </row>
    <row r="711" ht="14" customHeight="1">
      <c r="A711" s="94" t="n">
        <v>697</v>
      </c>
      <c r="B711" s="95" t="n">
        <v>-0.01465211</v>
      </c>
      <c r="C711" s="43">
        <f>EXP(B711)-1</f>
        <v/>
      </c>
      <c r="D711" s="57">
        <f>B711*$B$11</f>
        <v/>
      </c>
    </row>
    <row r="712" ht="14" customHeight="1">
      <c r="A712" s="96" t="n">
        <v>698</v>
      </c>
      <c r="B712" s="97" t="n">
        <v>-0.02356218</v>
      </c>
      <c r="C712" s="40">
        <f>EXP(B712)-1</f>
        <v/>
      </c>
      <c r="D712" s="59">
        <f>B712*$B$11</f>
        <v/>
      </c>
    </row>
    <row r="713" ht="14" customHeight="1">
      <c r="A713" s="94" t="n">
        <v>699</v>
      </c>
      <c r="B713" s="95" t="n">
        <v>-0.01326586</v>
      </c>
      <c r="C713" s="43">
        <f>EXP(B713)-1</f>
        <v/>
      </c>
      <c r="D713" s="57">
        <f>B713*$B$11</f>
        <v/>
      </c>
    </row>
    <row r="714" ht="14" customHeight="1">
      <c r="A714" s="96" t="n">
        <v>700</v>
      </c>
      <c r="B714" s="97" t="n">
        <v>0.00697097</v>
      </c>
      <c r="C714" s="40">
        <f>EXP(B714)-1</f>
        <v/>
      </c>
      <c r="D714" s="59">
        <f>B714*$B$11</f>
        <v/>
      </c>
    </row>
    <row r="715" ht="14" customHeight="1">
      <c r="A715" s="94" t="n">
        <v>701</v>
      </c>
      <c r="B715" s="95" t="n">
        <v>-0.01558625</v>
      </c>
      <c r="C715" s="43">
        <f>EXP(B715)-1</f>
        <v/>
      </c>
      <c r="D715" s="57">
        <f>B715*$B$11</f>
        <v/>
      </c>
    </row>
    <row r="716" ht="14" customHeight="1">
      <c r="A716" s="96" t="n">
        <v>702</v>
      </c>
      <c r="B716" s="97" t="n">
        <v>-0.02084571</v>
      </c>
      <c r="C716" s="40">
        <f>EXP(B716)-1</f>
        <v/>
      </c>
      <c r="D716" s="59">
        <f>B716*$B$11</f>
        <v/>
      </c>
    </row>
    <row r="717" ht="14" customHeight="1">
      <c r="A717" s="94" t="n">
        <v>703</v>
      </c>
      <c r="B717" s="95" t="n">
        <v>0.00228916</v>
      </c>
      <c r="C717" s="43">
        <f>EXP(B717)-1</f>
        <v/>
      </c>
      <c r="D717" s="57">
        <f>B717*$B$11</f>
        <v/>
      </c>
    </row>
    <row r="718" ht="14" customHeight="1">
      <c r="A718" s="96" t="n">
        <v>704</v>
      </c>
      <c r="B718" s="97" t="n">
        <v>-0.00394406</v>
      </c>
      <c r="C718" s="40">
        <f>EXP(B718)-1</f>
        <v/>
      </c>
      <c r="D718" s="59">
        <f>B718*$B$11</f>
        <v/>
      </c>
    </row>
    <row r="719" ht="14" customHeight="1">
      <c r="A719" s="94" t="n">
        <v>705</v>
      </c>
      <c r="B719" s="95" t="n">
        <v>0.00533628</v>
      </c>
      <c r="C719" s="43">
        <f>EXP(B719)-1</f>
        <v/>
      </c>
      <c r="D719" s="57">
        <f>B719*$B$11</f>
        <v/>
      </c>
    </row>
    <row r="720" ht="14" customHeight="1">
      <c r="A720" s="96" t="n">
        <v>706</v>
      </c>
      <c r="B720" s="97" t="n">
        <v>0.00903672</v>
      </c>
      <c r="C720" s="40">
        <f>EXP(B720)-1</f>
        <v/>
      </c>
      <c r="D720" s="59">
        <f>B720*$B$11</f>
        <v/>
      </c>
    </row>
    <row r="721" ht="14" customHeight="1">
      <c r="A721" s="94" t="n">
        <v>707</v>
      </c>
      <c r="B721" s="95" t="n">
        <v>4.801e-05</v>
      </c>
      <c r="C721" s="43">
        <f>EXP(B721)-1</f>
        <v/>
      </c>
      <c r="D721" s="57">
        <f>B721*$B$11</f>
        <v/>
      </c>
    </row>
    <row r="722" ht="14" customHeight="1">
      <c r="A722" s="96" t="n">
        <v>708</v>
      </c>
      <c r="B722" s="97" t="n">
        <v>-0.01542313</v>
      </c>
      <c r="C722" s="40">
        <f>EXP(B722)-1</f>
        <v/>
      </c>
      <c r="D722" s="59">
        <f>B722*$B$11</f>
        <v/>
      </c>
    </row>
    <row r="723" ht="14" customHeight="1">
      <c r="A723" s="94" t="n">
        <v>709</v>
      </c>
      <c r="B723" s="95" t="n">
        <v>-0.0013356</v>
      </c>
      <c r="C723" s="43">
        <f>EXP(B723)-1</f>
        <v/>
      </c>
      <c r="D723" s="57">
        <f>B723*$B$11</f>
        <v/>
      </c>
    </row>
    <row r="724" ht="14" customHeight="1">
      <c r="A724" s="96" t="n">
        <v>710</v>
      </c>
      <c r="B724" s="97" t="n">
        <v>0.00615311</v>
      </c>
      <c r="C724" s="40">
        <f>EXP(B724)-1</f>
        <v/>
      </c>
      <c r="D724" s="59">
        <f>B724*$B$11</f>
        <v/>
      </c>
    </row>
    <row r="725" ht="14" customHeight="1">
      <c r="A725" s="94" t="n">
        <v>711</v>
      </c>
      <c r="B725" s="95" t="n">
        <v>-0.00684587</v>
      </c>
      <c r="C725" s="43">
        <f>EXP(B725)-1</f>
        <v/>
      </c>
      <c r="D725" s="57">
        <f>B725*$B$11</f>
        <v/>
      </c>
    </row>
    <row r="726" ht="14" customHeight="1">
      <c r="A726" s="96" t="n">
        <v>712</v>
      </c>
      <c r="B726" s="97" t="n">
        <v>-0.01709953</v>
      </c>
      <c r="C726" s="40">
        <f>EXP(B726)-1</f>
        <v/>
      </c>
      <c r="D726" s="59">
        <f>B726*$B$11</f>
        <v/>
      </c>
    </row>
    <row r="727" ht="14" customHeight="1">
      <c r="A727" s="94" t="n">
        <v>713</v>
      </c>
      <c r="B727" s="95" t="n">
        <v>0.01338134</v>
      </c>
      <c r="C727" s="43">
        <f>EXP(B727)-1</f>
        <v/>
      </c>
      <c r="D727" s="57">
        <f>B727*$B$11</f>
        <v/>
      </c>
    </row>
    <row r="728" ht="14" customHeight="1">
      <c r="A728" s="96" t="n">
        <v>714</v>
      </c>
      <c r="B728" s="97" t="n">
        <v>-0.00483297</v>
      </c>
      <c r="C728" s="40">
        <f>EXP(B728)-1</f>
        <v/>
      </c>
      <c r="D728" s="59">
        <f>B728*$B$11</f>
        <v/>
      </c>
    </row>
    <row r="729" ht="14" customHeight="1">
      <c r="A729" s="94" t="n">
        <v>715</v>
      </c>
      <c r="B729" s="95" t="n">
        <v>-0.00476076</v>
      </c>
      <c r="C729" s="43">
        <f>EXP(B729)-1</f>
        <v/>
      </c>
      <c r="D729" s="57">
        <f>B729*$B$11</f>
        <v/>
      </c>
    </row>
    <row r="730" ht="14" customHeight="1">
      <c r="A730" s="96" t="n">
        <v>716</v>
      </c>
      <c r="B730" s="97" t="n">
        <v>0.00034155</v>
      </c>
      <c r="C730" s="40">
        <f>EXP(B730)-1</f>
        <v/>
      </c>
      <c r="D730" s="59">
        <f>B730*$B$11</f>
        <v/>
      </c>
    </row>
    <row r="731" ht="14" customHeight="1">
      <c r="A731" s="94" t="n">
        <v>717</v>
      </c>
      <c r="B731" s="95" t="n">
        <v>0.01251567</v>
      </c>
      <c r="C731" s="43">
        <f>EXP(B731)-1</f>
        <v/>
      </c>
      <c r="D731" s="57">
        <f>B731*$B$11</f>
        <v/>
      </c>
    </row>
    <row r="732" ht="14" customHeight="1">
      <c r="A732" s="96" t="n">
        <v>718</v>
      </c>
      <c r="B732" s="97" t="n">
        <v>0.00331344</v>
      </c>
      <c r="C732" s="40">
        <f>EXP(B732)-1</f>
        <v/>
      </c>
      <c r="D732" s="59">
        <f>B732*$B$11</f>
        <v/>
      </c>
    </row>
    <row r="733" ht="14" customHeight="1">
      <c r="A733" s="94" t="n">
        <v>719</v>
      </c>
      <c r="B733" s="95" t="n">
        <v>-0.00384871</v>
      </c>
      <c r="C733" s="43">
        <f>EXP(B733)-1</f>
        <v/>
      </c>
      <c r="D733" s="57">
        <f>B733*$B$11</f>
        <v/>
      </c>
    </row>
    <row r="734" ht="14" customHeight="1">
      <c r="A734" s="96" t="n">
        <v>720</v>
      </c>
      <c r="B734" s="97" t="n">
        <v>0.0083356</v>
      </c>
      <c r="C734" s="40">
        <f>EXP(B734)-1</f>
        <v/>
      </c>
      <c r="D734" s="59">
        <f>B734*$B$11</f>
        <v/>
      </c>
    </row>
    <row r="735" ht="14" customHeight="1">
      <c r="A735" s="94" t="n">
        <v>721</v>
      </c>
      <c r="B735" s="95" t="n">
        <v>0.02591429</v>
      </c>
      <c r="C735" s="43">
        <f>EXP(B735)-1</f>
        <v/>
      </c>
      <c r="D735" s="57">
        <f>B735*$B$11</f>
        <v/>
      </c>
    </row>
    <row r="736" ht="14" customHeight="1">
      <c r="A736" s="96" t="n">
        <v>722</v>
      </c>
      <c r="B736" s="97" t="n">
        <v>0.01680344</v>
      </c>
      <c r="C736" s="40">
        <f>EXP(B736)-1</f>
        <v/>
      </c>
      <c r="D736" s="59">
        <f>B736*$B$11</f>
        <v/>
      </c>
    </row>
    <row r="737" ht="14" customHeight="1">
      <c r="A737" s="94" t="n">
        <v>723</v>
      </c>
      <c r="B737" s="95" t="n">
        <v>0.008224459999999999</v>
      </c>
      <c r="C737" s="43">
        <f>EXP(B737)-1</f>
        <v/>
      </c>
      <c r="D737" s="57">
        <f>B737*$B$11</f>
        <v/>
      </c>
    </row>
    <row r="738" ht="14" customHeight="1">
      <c r="A738" s="96" t="n">
        <v>724</v>
      </c>
      <c r="B738" s="97" t="n">
        <v>-0.01331737</v>
      </c>
      <c r="C738" s="40">
        <f>EXP(B738)-1</f>
        <v/>
      </c>
      <c r="D738" s="59">
        <f>B738*$B$11</f>
        <v/>
      </c>
    </row>
    <row r="739" ht="14" customHeight="1">
      <c r="A739" s="94" t="n">
        <v>725</v>
      </c>
      <c r="B739" s="95" t="n">
        <v>0.0451747</v>
      </c>
      <c r="C739" s="43">
        <f>EXP(B739)-1</f>
        <v/>
      </c>
      <c r="D739" s="57">
        <f>B739*$B$11</f>
        <v/>
      </c>
    </row>
    <row r="740" ht="14" customHeight="1">
      <c r="A740" s="96" t="n">
        <v>726</v>
      </c>
      <c r="B740" s="97" t="n">
        <v>-0.01423389</v>
      </c>
      <c r="C740" s="40">
        <f>EXP(B740)-1</f>
        <v/>
      </c>
      <c r="D740" s="59">
        <f>B740*$B$11</f>
        <v/>
      </c>
    </row>
    <row r="741" ht="14" customHeight="1">
      <c r="A741" s="94" t="n">
        <v>727</v>
      </c>
      <c r="B741" s="95" t="n">
        <v>-0.00431163</v>
      </c>
      <c r="C741" s="43">
        <f>EXP(B741)-1</f>
        <v/>
      </c>
      <c r="D741" s="57">
        <f>B741*$B$11</f>
        <v/>
      </c>
    </row>
    <row r="742" ht="14" customHeight="1">
      <c r="A742" s="96" t="n">
        <v>728</v>
      </c>
      <c r="B742" s="97" t="n">
        <v>-0.00824867</v>
      </c>
      <c r="C742" s="40">
        <f>EXP(B742)-1</f>
        <v/>
      </c>
      <c r="D742" s="59">
        <f>B742*$B$11</f>
        <v/>
      </c>
    </row>
    <row r="743" ht="14" customHeight="1">
      <c r="A743" s="94" t="n">
        <v>729</v>
      </c>
      <c r="B743" s="95" t="n">
        <v>0.0196727</v>
      </c>
      <c r="C743" s="43">
        <f>EXP(B743)-1</f>
        <v/>
      </c>
      <c r="D743" s="57">
        <f>B743*$B$11</f>
        <v/>
      </c>
    </row>
    <row r="744" ht="14" customHeight="1">
      <c r="A744" s="96" t="n">
        <v>730</v>
      </c>
      <c r="B744" s="97" t="n">
        <v>0.00519288</v>
      </c>
      <c r="C744" s="40">
        <f>EXP(B744)-1</f>
        <v/>
      </c>
      <c r="D744" s="59">
        <f>B744*$B$11</f>
        <v/>
      </c>
    </row>
    <row r="745" ht="14" customHeight="1">
      <c r="A745" s="94" t="n">
        <v>731</v>
      </c>
      <c r="B745" s="95" t="n">
        <v>-0.0169755</v>
      </c>
      <c r="C745" s="43">
        <f>EXP(B745)-1</f>
        <v/>
      </c>
      <c r="D745" s="57">
        <f>B745*$B$11</f>
        <v/>
      </c>
    </row>
    <row r="746" ht="14" customHeight="1">
      <c r="A746" s="96" t="n">
        <v>732</v>
      </c>
      <c r="B746" s="97" t="n">
        <v>0.00336105</v>
      </c>
      <c r="C746" s="40">
        <f>EXP(B746)-1</f>
        <v/>
      </c>
      <c r="D746" s="59">
        <f>B746*$B$11</f>
        <v/>
      </c>
    </row>
    <row r="747" ht="14" customHeight="1">
      <c r="A747" s="94" t="n">
        <v>733</v>
      </c>
      <c r="B747" s="95" t="n">
        <v>0.00671287</v>
      </c>
      <c r="C747" s="43">
        <f>EXP(B747)-1</f>
        <v/>
      </c>
      <c r="D747" s="57">
        <f>B747*$B$11</f>
        <v/>
      </c>
    </row>
    <row r="748" ht="14" customHeight="1">
      <c r="A748" s="96" t="n">
        <v>734</v>
      </c>
      <c r="B748" s="97" t="n">
        <v>-0.0036718</v>
      </c>
      <c r="C748" s="40">
        <f>EXP(B748)-1</f>
        <v/>
      </c>
      <c r="D748" s="59">
        <f>B748*$B$11</f>
        <v/>
      </c>
    </row>
    <row r="749" ht="14" customHeight="1">
      <c r="A749" s="94" t="n">
        <v>735</v>
      </c>
      <c r="B749" s="95" t="n">
        <v>-0.01449228</v>
      </c>
      <c r="C749" s="43">
        <f>EXP(B749)-1</f>
        <v/>
      </c>
      <c r="D749" s="57">
        <f>B749*$B$11</f>
        <v/>
      </c>
    </row>
    <row r="750" ht="14" customHeight="1">
      <c r="A750" s="96" t="n">
        <v>736</v>
      </c>
      <c r="B750" s="97" t="n">
        <v>-0.0085504</v>
      </c>
      <c r="C750" s="40">
        <f>EXP(B750)-1</f>
        <v/>
      </c>
      <c r="D750" s="59">
        <f>B750*$B$11</f>
        <v/>
      </c>
    </row>
    <row r="751" ht="14" customHeight="1">
      <c r="A751" s="94" t="n">
        <v>737</v>
      </c>
      <c r="B751" s="95" t="n">
        <v>-0.00509219</v>
      </c>
      <c r="C751" s="43">
        <f>EXP(B751)-1</f>
        <v/>
      </c>
      <c r="D751" s="57">
        <f>B751*$B$11</f>
        <v/>
      </c>
    </row>
    <row r="752" ht="14" customHeight="1">
      <c r="A752" s="96" t="n">
        <v>738</v>
      </c>
      <c r="B752" s="97" t="n">
        <v>0.00042278</v>
      </c>
      <c r="C752" s="40">
        <f>EXP(B752)-1</f>
        <v/>
      </c>
      <c r="D752" s="59">
        <f>B752*$B$11</f>
        <v/>
      </c>
    </row>
    <row r="753" ht="14" customHeight="1">
      <c r="A753" s="94" t="n">
        <v>739</v>
      </c>
      <c r="B753" s="95" t="n">
        <v>-0.00608892</v>
      </c>
      <c r="C753" s="43">
        <f>EXP(B753)-1</f>
        <v/>
      </c>
      <c r="D753" s="57">
        <f>B753*$B$11</f>
        <v/>
      </c>
    </row>
    <row r="754" ht="14" customHeight="1">
      <c r="A754" s="96" t="n">
        <v>740</v>
      </c>
      <c r="B754" s="97" t="n">
        <v>0.00897264</v>
      </c>
      <c r="C754" s="40">
        <f>EXP(B754)-1</f>
        <v/>
      </c>
      <c r="D754" s="59">
        <f>B754*$B$11</f>
        <v/>
      </c>
    </row>
    <row r="755" ht="14" customHeight="1">
      <c r="A755" s="94" t="n">
        <v>741</v>
      </c>
      <c r="B755" s="95" t="n">
        <v>-0.01124937</v>
      </c>
      <c r="C755" s="43">
        <f>EXP(B755)-1</f>
        <v/>
      </c>
      <c r="D755" s="57">
        <f>B755*$B$11</f>
        <v/>
      </c>
    </row>
    <row r="756" ht="14" customHeight="1">
      <c r="A756" s="96" t="n">
        <v>742</v>
      </c>
      <c r="B756" s="97" t="n">
        <v>-0.02062664</v>
      </c>
      <c r="C756" s="40">
        <f>EXP(B756)-1</f>
        <v/>
      </c>
      <c r="D756" s="59">
        <f>B756*$B$11</f>
        <v/>
      </c>
    </row>
    <row r="757" ht="14" customHeight="1">
      <c r="A757" s="94" t="n">
        <v>743</v>
      </c>
      <c r="B757" s="95" t="n">
        <v>-0.00872272</v>
      </c>
      <c r="C757" s="43">
        <f>EXP(B757)-1</f>
        <v/>
      </c>
      <c r="D757" s="57">
        <f>B757*$B$11</f>
        <v/>
      </c>
    </row>
    <row r="758" ht="14" customHeight="1">
      <c r="A758" s="96" t="n">
        <v>744</v>
      </c>
      <c r="B758" s="97" t="n">
        <v>0.01633669</v>
      </c>
      <c r="C758" s="40">
        <f>EXP(B758)-1</f>
        <v/>
      </c>
      <c r="D758" s="59">
        <f>B758*$B$11</f>
        <v/>
      </c>
    </row>
    <row r="759" ht="14" customHeight="1">
      <c r="A759" s="94" t="n">
        <v>745</v>
      </c>
      <c r="B759" s="95" t="n">
        <v>-0.00672788</v>
      </c>
      <c r="C759" s="43">
        <f>EXP(B759)-1</f>
        <v/>
      </c>
      <c r="D759" s="57">
        <f>B759*$B$11</f>
        <v/>
      </c>
    </row>
    <row r="760" ht="14" customHeight="1">
      <c r="A760" s="96" t="n">
        <v>746</v>
      </c>
      <c r="B760" s="97" t="n">
        <v>0.02823971</v>
      </c>
      <c r="C760" s="40">
        <f>EXP(B760)-1</f>
        <v/>
      </c>
      <c r="D760" s="59">
        <f>B760*$B$11</f>
        <v/>
      </c>
    </row>
    <row r="761" ht="14" customHeight="1">
      <c r="A761" s="94" t="n">
        <v>747</v>
      </c>
      <c r="B761" s="95" t="n">
        <v>0.00604781</v>
      </c>
      <c r="C761" s="43">
        <f>EXP(B761)-1</f>
        <v/>
      </c>
      <c r="D761" s="57">
        <f>B761*$B$11</f>
        <v/>
      </c>
    </row>
    <row r="762" ht="14" customHeight="1">
      <c r="A762" s="96" t="n">
        <v>748</v>
      </c>
      <c r="B762" s="97" t="n">
        <v>-0.01382311</v>
      </c>
      <c r="C762" s="40">
        <f>EXP(B762)-1</f>
        <v/>
      </c>
      <c r="D762" s="59">
        <f>B762*$B$11</f>
        <v/>
      </c>
    </row>
    <row r="763" ht="14" customHeight="1">
      <c r="A763" s="94" t="n">
        <v>749</v>
      </c>
      <c r="B763" s="95" t="n">
        <v>-0.009861429999999999</v>
      </c>
      <c r="C763" s="43">
        <f>EXP(B763)-1</f>
        <v/>
      </c>
      <c r="D763" s="57">
        <f>B763*$B$11</f>
        <v/>
      </c>
    </row>
    <row r="764" ht="14" customHeight="1">
      <c r="A764" s="96" t="n">
        <v>750</v>
      </c>
      <c r="B764" s="97" t="n">
        <v>0.00307047</v>
      </c>
      <c r="C764" s="40">
        <f>EXP(B764)-1</f>
        <v/>
      </c>
      <c r="D764" s="59">
        <f>B764*$B$11</f>
        <v/>
      </c>
    </row>
    <row r="765" ht="14" customHeight="1">
      <c r="A765" s="94" t="n">
        <v>751</v>
      </c>
      <c r="B765" s="95" t="n">
        <v>-0.01398173</v>
      </c>
      <c r="C765" s="43">
        <f>EXP(B765)-1</f>
        <v/>
      </c>
      <c r="D765" s="57">
        <f>B765*$B$11</f>
        <v/>
      </c>
    </row>
    <row r="766" ht="14" customHeight="1">
      <c r="A766" s="96" t="n">
        <v>752</v>
      </c>
      <c r="B766" s="97" t="n">
        <v>0.02864494</v>
      </c>
      <c r="C766" s="40">
        <f>EXP(B766)-1</f>
        <v/>
      </c>
      <c r="D766" s="59">
        <f>B766*$B$11</f>
        <v/>
      </c>
    </row>
    <row r="767" ht="14" customHeight="1">
      <c r="A767" s="94" t="n">
        <v>753</v>
      </c>
      <c r="B767" s="95" t="n">
        <v>-0.01174069</v>
      </c>
      <c r="C767" s="43">
        <f>EXP(B767)-1</f>
        <v/>
      </c>
      <c r="D767" s="57">
        <f>B767*$B$11</f>
        <v/>
      </c>
    </row>
    <row r="768" ht="14" customHeight="1">
      <c r="A768" s="96" t="n">
        <v>754</v>
      </c>
      <c r="B768" s="97" t="n">
        <v>0.00832132</v>
      </c>
      <c r="C768" s="40">
        <f>EXP(B768)-1</f>
        <v/>
      </c>
      <c r="D768" s="59">
        <f>B768*$B$11</f>
        <v/>
      </c>
    </row>
    <row r="769" ht="14" customHeight="1">
      <c r="A769" s="94" t="n">
        <v>755</v>
      </c>
      <c r="B769" s="95" t="n">
        <v>0.01767156</v>
      </c>
      <c r="C769" s="43">
        <f>EXP(B769)-1</f>
        <v/>
      </c>
      <c r="D769" s="57">
        <f>B769*$B$11</f>
        <v/>
      </c>
    </row>
    <row r="770" ht="14" customHeight="1">
      <c r="A770" s="96" t="n">
        <v>756</v>
      </c>
      <c r="B770" s="97" t="n">
        <v>-0.0011604</v>
      </c>
      <c r="C770" s="40">
        <f>EXP(B770)-1</f>
        <v/>
      </c>
      <c r="D770" s="59">
        <f>B770*$B$11</f>
        <v/>
      </c>
    </row>
    <row r="771" ht="14" customHeight="1">
      <c r="A771" s="94" t="n">
        <v>757</v>
      </c>
      <c r="B771" s="95" t="n">
        <v>-0.01180033</v>
      </c>
      <c r="C771" s="43">
        <f>EXP(B771)-1</f>
        <v/>
      </c>
      <c r="D771" s="57">
        <f>B771*$B$11</f>
        <v/>
      </c>
    </row>
    <row r="772" ht="14" customHeight="1">
      <c r="A772" s="96" t="n">
        <v>758</v>
      </c>
      <c r="B772" s="97" t="n">
        <v>-0.0031268</v>
      </c>
      <c r="C772" s="40">
        <f>EXP(B772)-1</f>
        <v/>
      </c>
      <c r="D772" s="59">
        <f>B772*$B$11</f>
        <v/>
      </c>
    </row>
    <row r="773" ht="14" customHeight="1">
      <c r="A773" s="94" t="n">
        <v>759</v>
      </c>
      <c r="B773" s="95" t="n">
        <v>0.0044966</v>
      </c>
      <c r="C773" s="43">
        <f>EXP(B773)-1</f>
        <v/>
      </c>
      <c r="D773" s="57">
        <f>B773*$B$11</f>
        <v/>
      </c>
    </row>
    <row r="774" ht="14" customHeight="1">
      <c r="A774" s="96" t="n">
        <v>760</v>
      </c>
      <c r="B774" s="97" t="n">
        <v>0.01065903</v>
      </c>
      <c r="C774" s="40">
        <f>EXP(B774)-1</f>
        <v/>
      </c>
      <c r="D774" s="59">
        <f>B774*$B$11</f>
        <v/>
      </c>
    </row>
    <row r="775" ht="14" customHeight="1">
      <c r="A775" s="94" t="n">
        <v>761</v>
      </c>
      <c r="B775" s="95" t="n">
        <v>0.0008306</v>
      </c>
      <c r="C775" s="43">
        <f>EXP(B775)-1</f>
        <v/>
      </c>
      <c r="D775" s="57">
        <f>B775*$B$11</f>
        <v/>
      </c>
    </row>
    <row r="776" ht="14" customHeight="1">
      <c r="A776" s="96" t="n">
        <v>762</v>
      </c>
      <c r="B776" s="97" t="n">
        <v>-0.01665267</v>
      </c>
      <c r="C776" s="40">
        <f>EXP(B776)-1</f>
        <v/>
      </c>
      <c r="D776" s="59">
        <f>B776*$B$11</f>
        <v/>
      </c>
    </row>
    <row r="777" ht="14" customHeight="1">
      <c r="A777" s="94" t="n">
        <v>763</v>
      </c>
      <c r="B777" s="95" t="n">
        <v>0.00065789</v>
      </c>
      <c r="C777" s="43">
        <f>EXP(B777)-1</f>
        <v/>
      </c>
      <c r="D777" s="57">
        <f>B777*$B$11</f>
        <v/>
      </c>
    </row>
    <row r="778" ht="14" customHeight="1">
      <c r="A778" s="96" t="n">
        <v>764</v>
      </c>
      <c r="B778" s="97" t="n">
        <v>-0.0079303</v>
      </c>
      <c r="C778" s="40">
        <f>EXP(B778)-1</f>
        <v/>
      </c>
      <c r="D778" s="59">
        <f>B778*$B$11</f>
        <v/>
      </c>
    </row>
    <row r="779" ht="14" customHeight="1">
      <c r="A779" s="94" t="n">
        <v>765</v>
      </c>
      <c r="B779" s="95" t="n">
        <v>-0.02604883</v>
      </c>
      <c r="C779" s="43">
        <f>EXP(B779)-1</f>
        <v/>
      </c>
      <c r="D779" s="57">
        <f>B779*$B$11</f>
        <v/>
      </c>
    </row>
    <row r="780" ht="14" customHeight="1">
      <c r="A780" s="96" t="n">
        <v>766</v>
      </c>
      <c r="B780" s="97" t="n">
        <v>-0.008220720000000001</v>
      </c>
      <c r="C780" s="40">
        <f>EXP(B780)-1</f>
        <v/>
      </c>
      <c r="D780" s="59">
        <f>B780*$B$11</f>
        <v/>
      </c>
    </row>
    <row r="781" ht="14" customHeight="1">
      <c r="A781" s="94" t="n">
        <v>767</v>
      </c>
      <c r="B781" s="95" t="n">
        <v>-0.01703941</v>
      </c>
      <c r="C781" s="43">
        <f>EXP(B781)-1</f>
        <v/>
      </c>
      <c r="D781" s="57">
        <f>B781*$B$11</f>
        <v/>
      </c>
    </row>
    <row r="782" ht="14" customHeight="1">
      <c r="A782" s="96" t="n">
        <v>768</v>
      </c>
      <c r="B782" s="97" t="n">
        <v>0.00719225</v>
      </c>
      <c r="C782" s="40">
        <f>EXP(B782)-1</f>
        <v/>
      </c>
      <c r="D782" s="59">
        <f>B782*$B$11</f>
        <v/>
      </c>
    </row>
    <row r="783" ht="14" customHeight="1">
      <c r="A783" s="94" t="n">
        <v>769</v>
      </c>
      <c r="B783" s="95" t="n">
        <v>0.02347998</v>
      </c>
      <c r="C783" s="43">
        <f>EXP(B783)-1</f>
        <v/>
      </c>
      <c r="D783" s="57">
        <f>B783*$B$11</f>
        <v/>
      </c>
    </row>
    <row r="784" ht="14" customHeight="1">
      <c r="A784" s="96" t="n">
        <v>770</v>
      </c>
      <c r="B784" s="97" t="n">
        <v>0.02245504</v>
      </c>
      <c r="C784" s="40">
        <f>EXP(B784)-1</f>
        <v/>
      </c>
      <c r="D784" s="59">
        <f>B784*$B$11</f>
        <v/>
      </c>
    </row>
    <row r="785" ht="14" customHeight="1">
      <c r="A785" s="94" t="n">
        <v>771</v>
      </c>
      <c r="B785" s="95" t="n">
        <v>-0.0067285</v>
      </c>
      <c r="C785" s="43">
        <f>EXP(B785)-1</f>
        <v/>
      </c>
      <c r="D785" s="57">
        <f>B785*$B$11</f>
        <v/>
      </c>
    </row>
    <row r="786" ht="14" customHeight="1">
      <c r="A786" s="96" t="n">
        <v>772</v>
      </c>
      <c r="B786" s="97" t="n">
        <v>-0.00545873</v>
      </c>
      <c r="C786" s="40">
        <f>EXP(B786)-1</f>
        <v/>
      </c>
      <c r="D786" s="59">
        <f>B786*$B$11</f>
        <v/>
      </c>
    </row>
    <row r="787" ht="14" customHeight="1">
      <c r="A787" s="94" t="n">
        <v>773</v>
      </c>
      <c r="B787" s="95" t="n">
        <v>0.00841538</v>
      </c>
      <c r="C787" s="43">
        <f>EXP(B787)-1</f>
        <v/>
      </c>
      <c r="D787" s="57">
        <f>B787*$B$11</f>
        <v/>
      </c>
    </row>
    <row r="788" ht="14" customHeight="1">
      <c r="A788" s="96" t="n">
        <v>774</v>
      </c>
      <c r="B788" s="97" t="n">
        <v>0.01288543</v>
      </c>
      <c r="C788" s="40">
        <f>EXP(B788)-1</f>
        <v/>
      </c>
      <c r="D788" s="59">
        <f>B788*$B$11</f>
        <v/>
      </c>
    </row>
    <row r="789" ht="14" customHeight="1">
      <c r="A789" s="94" t="n">
        <v>775</v>
      </c>
      <c r="B789" s="95" t="n">
        <v>-0.00487486</v>
      </c>
      <c r="C789" s="43">
        <f>EXP(B789)-1</f>
        <v/>
      </c>
      <c r="D789" s="57">
        <f>B789*$B$11</f>
        <v/>
      </c>
    </row>
    <row r="790" ht="14" customHeight="1">
      <c r="A790" s="96" t="n">
        <v>776</v>
      </c>
      <c r="B790" s="97" t="n">
        <v>-0.00156163</v>
      </c>
      <c r="C790" s="40">
        <f>EXP(B790)-1</f>
        <v/>
      </c>
      <c r="D790" s="59">
        <f>B790*$B$11</f>
        <v/>
      </c>
    </row>
    <row r="791" ht="14" customHeight="1">
      <c r="A791" s="94" t="n">
        <v>777</v>
      </c>
      <c r="B791" s="95" t="n">
        <v>0.02663315</v>
      </c>
      <c r="C791" s="43">
        <f>EXP(B791)-1</f>
        <v/>
      </c>
      <c r="D791" s="57">
        <f>B791*$B$11</f>
        <v/>
      </c>
    </row>
    <row r="792" ht="14" customHeight="1">
      <c r="A792" s="96" t="n">
        <v>778</v>
      </c>
      <c r="B792" s="97" t="n">
        <v>-0.00113942</v>
      </c>
      <c r="C792" s="40">
        <f>EXP(B792)-1</f>
        <v/>
      </c>
      <c r="D792" s="59">
        <f>B792*$B$11</f>
        <v/>
      </c>
    </row>
    <row r="793" ht="14" customHeight="1">
      <c r="A793" s="94" t="n">
        <v>779</v>
      </c>
      <c r="B793" s="95" t="n">
        <v>-0.00567386</v>
      </c>
      <c r="C793" s="43">
        <f>EXP(B793)-1</f>
        <v/>
      </c>
      <c r="D793" s="57">
        <f>B793*$B$11</f>
        <v/>
      </c>
    </row>
    <row r="794" ht="14" customHeight="1">
      <c r="A794" s="96" t="n">
        <v>780</v>
      </c>
      <c r="B794" s="97" t="n">
        <v>0.00158897</v>
      </c>
      <c r="C794" s="40">
        <f>EXP(B794)-1</f>
        <v/>
      </c>
      <c r="D794" s="59">
        <f>B794*$B$11</f>
        <v/>
      </c>
    </row>
    <row r="795" ht="14" customHeight="1">
      <c r="A795" s="94" t="n">
        <v>781</v>
      </c>
      <c r="B795" s="95" t="n">
        <v>0.00710643</v>
      </c>
      <c r="C795" s="43">
        <f>EXP(B795)-1</f>
        <v/>
      </c>
      <c r="D795" s="57">
        <f>B795*$B$11</f>
        <v/>
      </c>
    </row>
    <row r="796" ht="14" customHeight="1">
      <c r="A796" s="96" t="n">
        <v>782</v>
      </c>
      <c r="B796" s="97" t="n">
        <v>-0.0121097</v>
      </c>
      <c r="C796" s="40">
        <f>EXP(B796)-1</f>
        <v/>
      </c>
      <c r="D796" s="59">
        <f>B796*$B$11</f>
        <v/>
      </c>
    </row>
    <row r="797" ht="14" customHeight="1">
      <c r="A797" s="94" t="n">
        <v>783</v>
      </c>
      <c r="B797" s="95" t="n">
        <v>-0.00283083</v>
      </c>
      <c r="C797" s="43">
        <f>EXP(B797)-1</f>
        <v/>
      </c>
      <c r="D797" s="57">
        <f>B797*$B$11</f>
        <v/>
      </c>
    </row>
    <row r="798" ht="14" customHeight="1">
      <c r="A798" s="96" t="n">
        <v>784</v>
      </c>
      <c r="B798" s="97" t="n">
        <v>-0.01384633</v>
      </c>
      <c r="C798" s="40">
        <f>EXP(B798)-1</f>
        <v/>
      </c>
      <c r="D798" s="59">
        <f>B798*$B$11</f>
        <v/>
      </c>
    </row>
    <row r="799" ht="14" customHeight="1">
      <c r="A799" s="94" t="n">
        <v>785</v>
      </c>
      <c r="B799" s="95" t="n">
        <v>-0.00318916</v>
      </c>
      <c r="C799" s="43">
        <f>EXP(B799)-1</f>
        <v/>
      </c>
      <c r="D799" s="57">
        <f>B799*$B$11</f>
        <v/>
      </c>
    </row>
    <row r="800" ht="14" customHeight="1">
      <c r="A800" s="96" t="n">
        <v>786</v>
      </c>
      <c r="B800" s="97" t="n">
        <v>0.02267309</v>
      </c>
      <c r="C800" s="40">
        <f>EXP(B800)-1</f>
        <v/>
      </c>
      <c r="D800" s="59">
        <f>B800*$B$11</f>
        <v/>
      </c>
    </row>
    <row r="801" ht="14" customHeight="1">
      <c r="A801" s="94" t="n">
        <v>787</v>
      </c>
      <c r="B801" s="95" t="n">
        <v>0.00905067</v>
      </c>
      <c r="C801" s="43">
        <f>EXP(B801)-1</f>
        <v/>
      </c>
      <c r="D801" s="57">
        <f>B801*$B$11</f>
        <v/>
      </c>
    </row>
    <row r="802" ht="14" customHeight="1">
      <c r="A802" s="96" t="n">
        <v>788</v>
      </c>
      <c r="B802" s="97" t="n">
        <v>-0.00096052</v>
      </c>
      <c r="C802" s="40">
        <f>EXP(B802)-1</f>
        <v/>
      </c>
      <c r="D802" s="59">
        <f>B802*$B$11</f>
        <v/>
      </c>
    </row>
    <row r="803" ht="14" customHeight="1">
      <c r="A803" s="94" t="n">
        <v>789</v>
      </c>
      <c r="B803" s="95" t="n">
        <v>-0.01104734</v>
      </c>
      <c r="C803" s="43">
        <f>EXP(B803)-1</f>
        <v/>
      </c>
      <c r="D803" s="57">
        <f>B803*$B$11</f>
        <v/>
      </c>
    </row>
    <row r="804" ht="14" customHeight="1">
      <c r="A804" s="96" t="n">
        <v>790</v>
      </c>
      <c r="B804" s="97" t="n">
        <v>-0.0035869</v>
      </c>
      <c r="C804" s="40">
        <f>EXP(B804)-1</f>
        <v/>
      </c>
      <c r="D804" s="59">
        <f>B804*$B$11</f>
        <v/>
      </c>
    </row>
    <row r="805" ht="14" customHeight="1">
      <c r="A805" s="94" t="n">
        <v>791</v>
      </c>
      <c r="B805" s="95" t="n">
        <v>0.0127588</v>
      </c>
      <c r="C805" s="43">
        <f>EXP(B805)-1</f>
        <v/>
      </c>
      <c r="D805" s="57">
        <f>B805*$B$11</f>
        <v/>
      </c>
    </row>
    <row r="806" ht="14" customHeight="1">
      <c r="A806" s="96" t="n">
        <v>792</v>
      </c>
      <c r="B806" s="97" t="n">
        <v>-0.00659024</v>
      </c>
      <c r="C806" s="40">
        <f>EXP(B806)-1</f>
        <v/>
      </c>
      <c r="D806" s="59">
        <f>B806*$B$11</f>
        <v/>
      </c>
    </row>
    <row r="807" ht="14" customHeight="1">
      <c r="A807" s="94" t="n">
        <v>793</v>
      </c>
      <c r="B807" s="95" t="n">
        <v>0.01755505</v>
      </c>
      <c r="C807" s="43">
        <f>EXP(B807)-1</f>
        <v/>
      </c>
      <c r="D807" s="57">
        <f>B807*$B$11</f>
        <v/>
      </c>
    </row>
    <row r="808" ht="14" customHeight="1">
      <c r="A808" s="96" t="n">
        <v>794</v>
      </c>
      <c r="B808" s="97" t="n">
        <v>-0.01633364</v>
      </c>
      <c r="C808" s="40">
        <f>EXP(B808)-1</f>
        <v/>
      </c>
      <c r="D808" s="59">
        <f>B808*$B$11</f>
        <v/>
      </c>
    </row>
    <row r="809" ht="14" customHeight="1">
      <c r="A809" s="94" t="n">
        <v>795</v>
      </c>
      <c r="B809" s="95" t="n">
        <v>-0.00333056</v>
      </c>
      <c r="C809" s="43">
        <f>EXP(B809)-1</f>
        <v/>
      </c>
      <c r="D809" s="57">
        <f>B809*$B$11</f>
        <v/>
      </c>
    </row>
    <row r="810" ht="14" customHeight="1">
      <c r="A810" s="96" t="n">
        <v>796</v>
      </c>
      <c r="B810" s="97" t="n">
        <v>0.02106317</v>
      </c>
      <c r="C810" s="40">
        <f>EXP(B810)-1</f>
        <v/>
      </c>
      <c r="D810" s="59">
        <f>B810*$B$11</f>
        <v/>
      </c>
    </row>
    <row r="811" ht="14" customHeight="1">
      <c r="A811" s="94" t="n">
        <v>797</v>
      </c>
      <c r="B811" s="95" t="n">
        <v>-0.02394407</v>
      </c>
      <c r="C811" s="43">
        <f>EXP(B811)-1</f>
        <v/>
      </c>
      <c r="D811" s="57">
        <f>B811*$B$11</f>
        <v/>
      </c>
    </row>
    <row r="812" ht="14" customHeight="1">
      <c r="A812" s="96" t="n">
        <v>798</v>
      </c>
      <c r="B812" s="97" t="n">
        <v>0.01441096</v>
      </c>
      <c r="C812" s="40">
        <f>EXP(B812)-1</f>
        <v/>
      </c>
      <c r="D812" s="59">
        <f>B812*$B$11</f>
        <v/>
      </c>
    </row>
    <row r="813" ht="14" customHeight="1">
      <c r="A813" s="94" t="n">
        <v>799</v>
      </c>
      <c r="B813" s="95" t="n">
        <v>-0.02206652</v>
      </c>
      <c r="C813" s="43">
        <f>EXP(B813)-1</f>
        <v/>
      </c>
      <c r="D813" s="57">
        <f>B813*$B$11</f>
        <v/>
      </c>
    </row>
    <row r="814" ht="14" customHeight="1">
      <c r="A814" s="96" t="n">
        <v>800</v>
      </c>
      <c r="B814" s="97" t="n">
        <v>-0.00093096</v>
      </c>
      <c r="C814" s="40">
        <f>EXP(B814)-1</f>
        <v/>
      </c>
      <c r="D814" s="59">
        <f>B814*$B$11</f>
        <v/>
      </c>
    </row>
    <row r="815" ht="14" customHeight="1">
      <c r="A815" s="94" t="n">
        <v>801</v>
      </c>
      <c r="B815" s="95" t="n">
        <v>-0.00192042</v>
      </c>
      <c r="C815" s="43">
        <f>EXP(B815)-1</f>
        <v/>
      </c>
      <c r="D815" s="57">
        <f>B815*$B$11</f>
        <v/>
      </c>
    </row>
    <row r="816" ht="14" customHeight="1">
      <c r="A816" s="96" t="n">
        <v>802</v>
      </c>
      <c r="B816" s="97" t="n">
        <v>0.01004152</v>
      </c>
      <c r="C816" s="40">
        <f>EXP(B816)-1</f>
        <v/>
      </c>
      <c r="D816" s="59">
        <f>B816*$B$11</f>
        <v/>
      </c>
    </row>
    <row r="817" ht="14" customHeight="1">
      <c r="A817" s="94" t="n">
        <v>803</v>
      </c>
      <c r="B817" s="95" t="n">
        <v>-0.03770452</v>
      </c>
      <c r="C817" s="43">
        <f>EXP(B817)-1</f>
        <v/>
      </c>
      <c r="D817" s="57">
        <f>B817*$B$11</f>
        <v/>
      </c>
    </row>
    <row r="818" ht="14" customHeight="1">
      <c r="A818" s="96" t="n">
        <v>804</v>
      </c>
      <c r="B818" s="97" t="n">
        <v>-0.02286372</v>
      </c>
      <c r="C818" s="40">
        <f>EXP(B818)-1</f>
        <v/>
      </c>
      <c r="D818" s="59">
        <f>B818*$B$11</f>
        <v/>
      </c>
    </row>
    <row r="819" ht="14" customHeight="1">
      <c r="A819" s="94" t="n">
        <v>805</v>
      </c>
      <c r="B819" s="95" t="n">
        <v>-0.0066422</v>
      </c>
      <c r="C819" s="43">
        <f>EXP(B819)-1</f>
        <v/>
      </c>
      <c r="D819" s="57">
        <f>B819*$B$11</f>
        <v/>
      </c>
    </row>
    <row r="820" ht="14" customHeight="1">
      <c r="A820" s="96" t="n">
        <v>806</v>
      </c>
      <c r="B820" s="97" t="n">
        <v>0.00059274</v>
      </c>
      <c r="C820" s="40">
        <f>EXP(B820)-1</f>
        <v/>
      </c>
      <c r="D820" s="59">
        <f>B820*$B$11</f>
        <v/>
      </c>
    </row>
    <row r="821" ht="14" customHeight="1">
      <c r="A821" s="94" t="n">
        <v>807</v>
      </c>
      <c r="B821" s="95" t="n">
        <v>-0.0105686</v>
      </c>
      <c r="C821" s="43">
        <f>EXP(B821)-1</f>
        <v/>
      </c>
      <c r="D821" s="57">
        <f>B821*$B$11</f>
        <v/>
      </c>
    </row>
    <row r="822" ht="14" customHeight="1">
      <c r="A822" s="96" t="n">
        <v>808</v>
      </c>
      <c r="B822" s="97" t="n">
        <v>-0.0025004</v>
      </c>
      <c r="C822" s="40">
        <f>EXP(B822)-1</f>
        <v/>
      </c>
      <c r="D822" s="59">
        <f>B822*$B$11</f>
        <v/>
      </c>
    </row>
    <row r="823" ht="14" customHeight="1">
      <c r="A823" s="94" t="n">
        <v>809</v>
      </c>
      <c r="B823" s="95" t="n">
        <v>-0.01408408</v>
      </c>
      <c r="C823" s="43">
        <f>EXP(B823)-1</f>
        <v/>
      </c>
      <c r="D823" s="57">
        <f>B823*$B$11</f>
        <v/>
      </c>
    </row>
    <row r="824" ht="14" customHeight="1">
      <c r="A824" s="96" t="n">
        <v>810</v>
      </c>
      <c r="B824" s="97" t="n">
        <v>-0.00466528</v>
      </c>
      <c r="C824" s="40">
        <f>EXP(B824)-1</f>
        <v/>
      </c>
      <c r="D824" s="59">
        <f>B824*$B$11</f>
        <v/>
      </c>
    </row>
    <row r="825" ht="14" customHeight="1">
      <c r="A825" s="94" t="n">
        <v>811</v>
      </c>
      <c r="B825" s="95" t="n">
        <v>-0.01001119</v>
      </c>
      <c r="C825" s="43">
        <f>EXP(B825)-1</f>
        <v/>
      </c>
      <c r="D825" s="57">
        <f>B825*$B$11</f>
        <v/>
      </c>
    </row>
    <row r="826" ht="14" customHeight="1">
      <c r="A826" s="96" t="n">
        <v>812</v>
      </c>
      <c r="B826" s="97" t="n">
        <v>0.00307826</v>
      </c>
      <c r="C826" s="40">
        <f>EXP(B826)-1</f>
        <v/>
      </c>
      <c r="D826" s="59">
        <f>B826*$B$11</f>
        <v/>
      </c>
    </row>
    <row r="827" ht="14" customHeight="1">
      <c r="A827" s="94" t="n">
        <v>813</v>
      </c>
      <c r="B827" s="95" t="n">
        <v>0.00712704</v>
      </c>
      <c r="C827" s="43">
        <f>EXP(B827)-1</f>
        <v/>
      </c>
      <c r="D827" s="57">
        <f>B827*$B$11</f>
        <v/>
      </c>
    </row>
    <row r="828" ht="14" customHeight="1">
      <c r="A828" s="96" t="n">
        <v>814</v>
      </c>
      <c r="B828" s="97" t="n">
        <v>0.01734516</v>
      </c>
      <c r="C828" s="40">
        <f>EXP(B828)-1</f>
        <v/>
      </c>
      <c r="D828" s="59">
        <f>B828*$B$11</f>
        <v/>
      </c>
    </row>
    <row r="829" ht="14" customHeight="1">
      <c r="A829" s="94" t="n">
        <v>815</v>
      </c>
      <c r="B829" s="95" t="n">
        <v>-0.00772702</v>
      </c>
      <c r="C829" s="43">
        <f>EXP(B829)-1</f>
        <v/>
      </c>
      <c r="D829" s="57">
        <f>B829*$B$11</f>
        <v/>
      </c>
    </row>
    <row r="830" ht="14" customHeight="1">
      <c r="A830" s="96" t="n">
        <v>816</v>
      </c>
      <c r="B830" s="97" t="n">
        <v>-0.0036659</v>
      </c>
      <c r="C830" s="40">
        <f>EXP(B830)-1</f>
        <v/>
      </c>
      <c r="D830" s="59">
        <f>B830*$B$11</f>
        <v/>
      </c>
    </row>
    <row r="831" ht="14" customHeight="1">
      <c r="A831" s="94" t="n">
        <v>817</v>
      </c>
      <c r="B831" s="95" t="n">
        <v>0.00072295</v>
      </c>
      <c r="C831" s="43">
        <f>EXP(B831)-1</f>
        <v/>
      </c>
      <c r="D831" s="57">
        <f>B831*$B$11</f>
        <v/>
      </c>
    </row>
    <row r="832" ht="14" customHeight="1">
      <c r="A832" s="96" t="n">
        <v>818</v>
      </c>
      <c r="B832" s="97" t="n">
        <v>-0.00338903</v>
      </c>
      <c r="C832" s="40">
        <f>EXP(B832)-1</f>
        <v/>
      </c>
      <c r="D832" s="59">
        <f>B832*$B$11</f>
        <v/>
      </c>
    </row>
    <row r="833" ht="14" customHeight="1">
      <c r="A833" s="94" t="n">
        <v>819</v>
      </c>
      <c r="B833" s="95" t="n">
        <v>-0.00047389</v>
      </c>
      <c r="C833" s="43">
        <f>EXP(B833)-1</f>
        <v/>
      </c>
      <c r="D833" s="57">
        <f>B833*$B$11</f>
        <v/>
      </c>
    </row>
    <row r="834" ht="14" customHeight="1">
      <c r="A834" s="96" t="n">
        <v>820</v>
      </c>
      <c r="B834" s="97" t="n">
        <v>-0.01859614</v>
      </c>
      <c r="C834" s="40">
        <f>EXP(B834)-1</f>
        <v/>
      </c>
      <c r="D834" s="59">
        <f>B834*$B$11</f>
        <v/>
      </c>
    </row>
    <row r="835" ht="14" customHeight="1">
      <c r="A835" s="94" t="n">
        <v>821</v>
      </c>
      <c r="B835" s="95" t="n">
        <v>0.00461106</v>
      </c>
      <c r="C835" s="43">
        <f>EXP(B835)-1</f>
        <v/>
      </c>
      <c r="D835" s="57">
        <f>B835*$B$11</f>
        <v/>
      </c>
    </row>
    <row r="836" ht="14" customHeight="1">
      <c r="A836" s="96" t="n">
        <v>822</v>
      </c>
      <c r="B836" s="97" t="n">
        <v>-0.0108323</v>
      </c>
      <c r="C836" s="40">
        <f>EXP(B836)-1</f>
        <v/>
      </c>
      <c r="D836" s="59">
        <f>B836*$B$11</f>
        <v/>
      </c>
    </row>
    <row r="837" ht="14" customHeight="1">
      <c r="A837" s="94" t="n">
        <v>823</v>
      </c>
      <c r="B837" s="95" t="n">
        <v>-0.01133354</v>
      </c>
      <c r="C837" s="43">
        <f>EXP(B837)-1</f>
        <v/>
      </c>
      <c r="D837" s="57">
        <f>B837*$B$11</f>
        <v/>
      </c>
    </row>
    <row r="838" ht="14" customHeight="1">
      <c r="A838" s="96" t="n">
        <v>824</v>
      </c>
      <c r="B838" s="97" t="n">
        <v>-0.01890751</v>
      </c>
      <c r="C838" s="40">
        <f>EXP(B838)-1</f>
        <v/>
      </c>
      <c r="D838" s="59">
        <f>B838*$B$11</f>
        <v/>
      </c>
    </row>
    <row r="839" ht="14" customHeight="1">
      <c r="A839" s="94" t="n">
        <v>825</v>
      </c>
      <c r="B839" s="95" t="n">
        <v>0.01408202</v>
      </c>
      <c r="C839" s="43">
        <f>EXP(B839)-1</f>
        <v/>
      </c>
      <c r="D839" s="57">
        <f>B839*$B$11</f>
        <v/>
      </c>
    </row>
    <row r="840" ht="14" customHeight="1">
      <c r="A840" s="96" t="n">
        <v>826</v>
      </c>
      <c r="B840" s="97" t="n">
        <v>-0.00153731</v>
      </c>
      <c r="C840" s="40">
        <f>EXP(B840)-1</f>
        <v/>
      </c>
      <c r="D840" s="59">
        <f>B840*$B$11</f>
        <v/>
      </c>
    </row>
    <row r="841" ht="14" customHeight="1">
      <c r="A841" s="94" t="n">
        <v>827</v>
      </c>
      <c r="B841" s="95" t="n">
        <v>0.0139439</v>
      </c>
      <c r="C841" s="43">
        <f>EXP(B841)-1</f>
        <v/>
      </c>
      <c r="D841" s="57">
        <f>B841*$B$11</f>
        <v/>
      </c>
    </row>
    <row r="842" ht="14" customHeight="1">
      <c r="A842" s="96" t="n">
        <v>828</v>
      </c>
      <c r="B842" s="97" t="n">
        <v>0.00341762</v>
      </c>
      <c r="C842" s="40">
        <f>EXP(B842)-1</f>
        <v/>
      </c>
      <c r="D842" s="59">
        <f>B842*$B$11</f>
        <v/>
      </c>
    </row>
    <row r="843" ht="14" customHeight="1">
      <c r="A843" s="94" t="n">
        <v>829</v>
      </c>
      <c r="B843" s="95" t="n">
        <v>-0.02029033</v>
      </c>
      <c r="C843" s="43">
        <f>EXP(B843)-1</f>
        <v/>
      </c>
      <c r="D843" s="57">
        <f>B843*$B$11</f>
        <v/>
      </c>
    </row>
    <row r="844" ht="14" customHeight="1">
      <c r="A844" s="96" t="n">
        <v>830</v>
      </c>
      <c r="B844" s="97" t="n">
        <v>-0.01285436</v>
      </c>
      <c r="C844" s="40">
        <f>EXP(B844)-1</f>
        <v/>
      </c>
      <c r="D844" s="59">
        <f>B844*$B$11</f>
        <v/>
      </c>
    </row>
    <row r="845" ht="14" customHeight="1">
      <c r="A845" s="94" t="n">
        <v>831</v>
      </c>
      <c r="B845" s="95" t="n">
        <v>0.00924518</v>
      </c>
      <c r="C845" s="43">
        <f>EXP(B845)-1</f>
        <v/>
      </c>
      <c r="D845" s="57">
        <f>B845*$B$11</f>
        <v/>
      </c>
    </row>
    <row r="846" ht="14" customHeight="1">
      <c r="A846" s="96" t="n">
        <v>832</v>
      </c>
      <c r="B846" s="97" t="n">
        <v>-0.00903819</v>
      </c>
      <c r="C846" s="40">
        <f>EXP(B846)-1</f>
        <v/>
      </c>
      <c r="D846" s="59">
        <f>B846*$B$11</f>
        <v/>
      </c>
    </row>
    <row r="847" ht="14" customHeight="1">
      <c r="A847" s="94" t="n">
        <v>833</v>
      </c>
      <c r="B847" s="95" t="n">
        <v>-0.01293413</v>
      </c>
      <c r="C847" s="43">
        <f>EXP(B847)-1</f>
        <v/>
      </c>
      <c r="D847" s="57">
        <f>B847*$B$11</f>
        <v/>
      </c>
    </row>
    <row r="848" ht="14" customHeight="1">
      <c r="A848" s="96" t="n">
        <v>834</v>
      </c>
      <c r="B848" s="97" t="n">
        <v>-0.00200255</v>
      </c>
      <c r="C848" s="40">
        <f>EXP(B848)-1</f>
        <v/>
      </c>
      <c r="D848" s="59">
        <f>B848*$B$11</f>
        <v/>
      </c>
    </row>
    <row r="849" ht="14" customHeight="1">
      <c r="A849" s="94" t="n">
        <v>835</v>
      </c>
      <c r="B849" s="95" t="n">
        <v>-0.00197361</v>
      </c>
      <c r="C849" s="43">
        <f>EXP(B849)-1</f>
        <v/>
      </c>
      <c r="D849" s="57">
        <f>B849*$B$11</f>
        <v/>
      </c>
    </row>
    <row r="850" ht="14" customHeight="1">
      <c r="A850" s="96" t="n">
        <v>836</v>
      </c>
      <c r="B850" s="97" t="n">
        <v>-0.01199241</v>
      </c>
      <c r="C850" s="40">
        <f>EXP(B850)-1</f>
        <v/>
      </c>
      <c r="D850" s="59">
        <f>B850*$B$11</f>
        <v/>
      </c>
    </row>
    <row r="851" ht="14" customHeight="1">
      <c r="A851" s="94" t="n">
        <v>837</v>
      </c>
      <c r="B851" s="95" t="n">
        <v>-0.00376374</v>
      </c>
      <c r="C851" s="43">
        <f>EXP(B851)-1</f>
        <v/>
      </c>
      <c r="D851" s="57">
        <f>B851*$B$11</f>
        <v/>
      </c>
    </row>
    <row r="852" ht="14" customHeight="1">
      <c r="A852" s="96" t="n">
        <v>838</v>
      </c>
      <c r="B852" s="97" t="n">
        <v>-0.00559191</v>
      </c>
      <c r="C852" s="40">
        <f>EXP(B852)-1</f>
        <v/>
      </c>
      <c r="D852" s="59">
        <f>B852*$B$11</f>
        <v/>
      </c>
    </row>
    <row r="853" ht="14" customHeight="1">
      <c r="A853" s="94" t="n">
        <v>839</v>
      </c>
      <c r="B853" s="95" t="n">
        <v>-0.03092988</v>
      </c>
      <c r="C853" s="43">
        <f>EXP(B853)-1</f>
        <v/>
      </c>
      <c r="D853" s="57">
        <f>B853*$B$11</f>
        <v/>
      </c>
    </row>
    <row r="854" ht="14" customHeight="1">
      <c r="A854" s="96" t="n">
        <v>840</v>
      </c>
      <c r="B854" s="97" t="n">
        <v>0.00618196</v>
      </c>
      <c r="C854" s="40">
        <f>EXP(B854)-1</f>
        <v/>
      </c>
      <c r="D854" s="59">
        <f>B854*$B$11</f>
        <v/>
      </c>
    </row>
    <row r="855" ht="14" customHeight="1">
      <c r="A855" s="94" t="n">
        <v>841</v>
      </c>
      <c r="B855" s="95" t="n">
        <v>-0.0095865</v>
      </c>
      <c r="C855" s="43">
        <f>EXP(B855)-1</f>
        <v/>
      </c>
      <c r="D855" s="57">
        <f>B855*$B$11</f>
        <v/>
      </c>
    </row>
    <row r="856" ht="14" customHeight="1">
      <c r="A856" s="96" t="n">
        <v>842</v>
      </c>
      <c r="B856" s="97" t="n">
        <v>0.01580327</v>
      </c>
      <c r="C856" s="40">
        <f>EXP(B856)-1</f>
        <v/>
      </c>
      <c r="D856" s="59">
        <f>B856*$B$11</f>
        <v/>
      </c>
    </row>
    <row r="857" ht="14" customHeight="1">
      <c r="A857" s="94" t="n">
        <v>843</v>
      </c>
      <c r="B857" s="95" t="n">
        <v>-0.01365149</v>
      </c>
      <c r="C857" s="43">
        <f>EXP(B857)-1</f>
        <v/>
      </c>
      <c r="D857" s="57">
        <f>B857*$B$11</f>
        <v/>
      </c>
    </row>
    <row r="858" ht="14" customHeight="1">
      <c r="A858" s="96" t="n">
        <v>844</v>
      </c>
      <c r="B858" s="97" t="n">
        <v>-0.01880518</v>
      </c>
      <c r="C858" s="40">
        <f>EXP(B858)-1</f>
        <v/>
      </c>
      <c r="D858" s="59">
        <f>B858*$B$11</f>
        <v/>
      </c>
    </row>
    <row r="859" ht="14" customHeight="1">
      <c r="A859" s="94" t="n">
        <v>845</v>
      </c>
      <c r="B859" s="95" t="n">
        <v>0.01440149</v>
      </c>
      <c r="C859" s="43">
        <f>EXP(B859)-1</f>
        <v/>
      </c>
      <c r="D859" s="57">
        <f>B859*$B$11</f>
        <v/>
      </c>
    </row>
    <row r="860" ht="14" customHeight="1">
      <c r="A860" s="96" t="n">
        <v>846</v>
      </c>
      <c r="B860" s="97" t="n">
        <v>-0.01887066</v>
      </c>
      <c r="C860" s="40">
        <f>EXP(B860)-1</f>
        <v/>
      </c>
      <c r="D860" s="59">
        <f>B860*$B$11</f>
        <v/>
      </c>
    </row>
    <row r="861" ht="14" customHeight="1">
      <c r="A861" s="94" t="n">
        <v>847</v>
      </c>
      <c r="B861" s="95" t="n">
        <v>-0.00748409</v>
      </c>
      <c r="C861" s="43">
        <f>EXP(B861)-1</f>
        <v/>
      </c>
      <c r="D861" s="57">
        <f>B861*$B$11</f>
        <v/>
      </c>
    </row>
    <row r="862" ht="14" customHeight="1">
      <c r="A862" s="96" t="n">
        <v>848</v>
      </c>
      <c r="B862" s="97" t="n">
        <v>0.00731804</v>
      </c>
      <c r="C862" s="40">
        <f>EXP(B862)-1</f>
        <v/>
      </c>
      <c r="D862" s="59">
        <f>B862*$B$11</f>
        <v/>
      </c>
    </row>
    <row r="863" ht="14" customHeight="1">
      <c r="A863" s="94" t="n">
        <v>849</v>
      </c>
      <c r="B863" s="95" t="n">
        <v>-0.00380575</v>
      </c>
      <c r="C863" s="43">
        <f>EXP(B863)-1</f>
        <v/>
      </c>
      <c r="D863" s="57">
        <f>B863*$B$11</f>
        <v/>
      </c>
    </row>
    <row r="864" ht="14" customHeight="1">
      <c r="A864" s="96" t="n">
        <v>850</v>
      </c>
      <c r="B864" s="97" t="n">
        <v>-0.01971566</v>
      </c>
      <c r="C864" s="40">
        <f>EXP(B864)-1</f>
        <v/>
      </c>
      <c r="D864" s="59">
        <f>B864*$B$11</f>
        <v/>
      </c>
    </row>
    <row r="865" ht="14" customHeight="1">
      <c r="A865" s="94" t="n">
        <v>851</v>
      </c>
      <c r="B865" s="95" t="n">
        <v>0.00240642</v>
      </c>
      <c r="C865" s="43">
        <f>EXP(B865)-1</f>
        <v/>
      </c>
      <c r="D865" s="57">
        <f>B865*$B$11</f>
        <v/>
      </c>
    </row>
    <row r="866" ht="14" customHeight="1">
      <c r="A866" s="96" t="n">
        <v>852</v>
      </c>
      <c r="B866" s="97" t="n">
        <v>-0.00218187</v>
      </c>
      <c r="C866" s="40">
        <f>EXP(B866)-1</f>
        <v/>
      </c>
      <c r="D866" s="59">
        <f>B866*$B$11</f>
        <v/>
      </c>
    </row>
    <row r="867" ht="14" customHeight="1">
      <c r="A867" s="94" t="n">
        <v>853</v>
      </c>
      <c r="B867" s="95" t="n">
        <v>0.01555626</v>
      </c>
      <c r="C867" s="43">
        <f>EXP(B867)-1</f>
        <v/>
      </c>
      <c r="D867" s="57">
        <f>B867*$B$11</f>
        <v/>
      </c>
    </row>
    <row r="868" ht="14" customHeight="1">
      <c r="A868" s="96" t="n">
        <v>854</v>
      </c>
      <c r="B868" s="97" t="n">
        <v>0.00721377</v>
      </c>
      <c r="C868" s="40">
        <f>EXP(B868)-1</f>
        <v/>
      </c>
      <c r="D868" s="59">
        <f>B868*$B$11</f>
        <v/>
      </c>
    </row>
    <row r="869" ht="14" customHeight="1">
      <c r="A869" s="94" t="n">
        <v>855</v>
      </c>
      <c r="B869" s="95" t="n">
        <v>0.03657857</v>
      </c>
      <c r="C869" s="43">
        <f>EXP(B869)-1</f>
        <v/>
      </c>
      <c r="D869" s="57">
        <f>B869*$B$11</f>
        <v/>
      </c>
    </row>
    <row r="870" ht="14" customHeight="1">
      <c r="A870" s="96" t="n">
        <v>856</v>
      </c>
      <c r="B870" s="97" t="n">
        <v>-0.01960073</v>
      </c>
      <c r="C870" s="40">
        <f>EXP(B870)-1</f>
        <v/>
      </c>
      <c r="D870" s="59">
        <f>B870*$B$11</f>
        <v/>
      </c>
    </row>
    <row r="871" ht="14" customHeight="1">
      <c r="A871" s="94" t="n">
        <v>857</v>
      </c>
      <c r="B871" s="95" t="n">
        <v>-0.0001101</v>
      </c>
      <c r="C871" s="43">
        <f>EXP(B871)-1</f>
        <v/>
      </c>
      <c r="D871" s="57">
        <f>B871*$B$11</f>
        <v/>
      </c>
    </row>
    <row r="872" ht="14" customHeight="1">
      <c r="A872" s="96" t="n">
        <v>858</v>
      </c>
      <c r="B872" s="97" t="n">
        <v>-0.01264985</v>
      </c>
      <c r="C872" s="40">
        <f>EXP(B872)-1</f>
        <v/>
      </c>
      <c r="D872" s="59">
        <f>B872*$B$11</f>
        <v/>
      </c>
    </row>
    <row r="873" ht="14" customHeight="1">
      <c r="A873" s="94" t="n">
        <v>859</v>
      </c>
      <c r="B873" s="95" t="n">
        <v>0.01400701</v>
      </c>
      <c r="C873" s="43">
        <f>EXP(B873)-1</f>
        <v/>
      </c>
      <c r="D873" s="57">
        <f>B873*$B$11</f>
        <v/>
      </c>
    </row>
    <row r="874" ht="14" customHeight="1">
      <c r="A874" s="96" t="n">
        <v>860</v>
      </c>
      <c r="B874" s="97" t="n">
        <v>0.01001206</v>
      </c>
      <c r="C874" s="40">
        <f>EXP(B874)-1</f>
        <v/>
      </c>
      <c r="D874" s="59">
        <f>B874*$B$11</f>
        <v/>
      </c>
    </row>
    <row r="875" ht="14" customHeight="1">
      <c r="A875" s="94" t="n">
        <v>861</v>
      </c>
      <c r="B875" s="95" t="n">
        <v>0.00919845</v>
      </c>
      <c r="C875" s="43">
        <f>EXP(B875)-1</f>
        <v/>
      </c>
      <c r="D875" s="57">
        <f>B875*$B$11</f>
        <v/>
      </c>
    </row>
    <row r="876" ht="14" customHeight="1">
      <c r="A876" s="96" t="n">
        <v>862</v>
      </c>
      <c r="B876" s="97" t="n">
        <v>-0.009177980000000001</v>
      </c>
      <c r="C876" s="40">
        <f>EXP(B876)-1</f>
        <v/>
      </c>
      <c r="D876" s="59">
        <f>B876*$B$11</f>
        <v/>
      </c>
    </row>
    <row r="877" ht="14" customHeight="1">
      <c r="A877" s="94" t="n">
        <v>863</v>
      </c>
      <c r="B877" s="95" t="n">
        <v>-0.008791820000000001</v>
      </c>
      <c r="C877" s="43">
        <f>EXP(B877)-1</f>
        <v/>
      </c>
      <c r="D877" s="57">
        <f>B877*$B$11</f>
        <v/>
      </c>
    </row>
    <row r="878" ht="14" customHeight="1">
      <c r="A878" s="96" t="n">
        <v>864</v>
      </c>
      <c r="B878" s="97" t="n">
        <v>-0.02420616</v>
      </c>
      <c r="C878" s="40">
        <f>EXP(B878)-1</f>
        <v/>
      </c>
      <c r="D878" s="59">
        <f>B878*$B$11</f>
        <v/>
      </c>
    </row>
    <row r="879" ht="14" customHeight="1">
      <c r="A879" s="94" t="n">
        <v>865</v>
      </c>
      <c r="B879" s="95" t="n">
        <v>0.020664</v>
      </c>
      <c r="C879" s="43">
        <f>EXP(B879)-1</f>
        <v/>
      </c>
      <c r="D879" s="57">
        <f>B879*$B$11</f>
        <v/>
      </c>
    </row>
    <row r="880" ht="14" customHeight="1">
      <c r="A880" s="96" t="n">
        <v>866</v>
      </c>
      <c r="B880" s="97" t="n">
        <v>0.00624863</v>
      </c>
      <c r="C880" s="40">
        <f>EXP(B880)-1</f>
        <v/>
      </c>
      <c r="D880" s="59">
        <f>B880*$B$11</f>
        <v/>
      </c>
    </row>
    <row r="881" ht="14" customHeight="1">
      <c r="A881" s="94" t="n">
        <v>867</v>
      </c>
      <c r="B881" s="95" t="n">
        <v>-0.00298032</v>
      </c>
      <c r="C881" s="43">
        <f>EXP(B881)-1</f>
        <v/>
      </c>
      <c r="D881" s="57">
        <f>B881*$B$11</f>
        <v/>
      </c>
    </row>
    <row r="882" ht="14" customHeight="1">
      <c r="A882" s="96" t="n">
        <v>868</v>
      </c>
      <c r="B882" s="97" t="n">
        <v>0.01135218</v>
      </c>
      <c r="C882" s="40">
        <f>EXP(B882)-1</f>
        <v/>
      </c>
      <c r="D882" s="59">
        <f>B882*$B$11</f>
        <v/>
      </c>
    </row>
    <row r="883" ht="14" customHeight="1">
      <c r="A883" s="94" t="n">
        <v>869</v>
      </c>
      <c r="B883" s="95" t="n">
        <v>0.009160990000000001</v>
      </c>
      <c r="C883" s="43">
        <f>EXP(B883)-1</f>
        <v/>
      </c>
      <c r="D883" s="57">
        <f>B883*$B$11</f>
        <v/>
      </c>
    </row>
    <row r="884" ht="14" customHeight="1">
      <c r="A884" s="96" t="n">
        <v>870</v>
      </c>
      <c r="B884" s="97" t="n">
        <v>0.01185317</v>
      </c>
      <c r="C884" s="40">
        <f>EXP(B884)-1</f>
        <v/>
      </c>
      <c r="D884" s="59">
        <f>B884*$B$11</f>
        <v/>
      </c>
    </row>
    <row r="885" ht="14" customHeight="1">
      <c r="A885" s="94" t="n">
        <v>871</v>
      </c>
      <c r="B885" s="95" t="n">
        <v>-0.01933245</v>
      </c>
      <c r="C885" s="43">
        <f>EXP(B885)-1</f>
        <v/>
      </c>
      <c r="D885" s="57">
        <f>B885*$B$11</f>
        <v/>
      </c>
    </row>
    <row r="886" ht="14" customHeight="1">
      <c r="A886" s="96" t="n">
        <v>872</v>
      </c>
      <c r="B886" s="97" t="n">
        <v>-0.00841603</v>
      </c>
      <c r="C886" s="40">
        <f>EXP(B886)-1</f>
        <v/>
      </c>
      <c r="D886" s="59">
        <f>B886*$B$11</f>
        <v/>
      </c>
    </row>
    <row r="887" ht="14" customHeight="1">
      <c r="A887" s="94" t="n">
        <v>873</v>
      </c>
      <c r="B887" s="95" t="n">
        <v>0.0024953</v>
      </c>
      <c r="C887" s="43">
        <f>EXP(B887)-1</f>
        <v/>
      </c>
      <c r="D887" s="57">
        <f>B887*$B$11</f>
        <v/>
      </c>
    </row>
    <row r="888" ht="14" customHeight="1">
      <c r="A888" s="96" t="n">
        <v>874</v>
      </c>
      <c r="B888" s="97" t="n">
        <v>0.00441505</v>
      </c>
      <c r="C888" s="40">
        <f>EXP(B888)-1</f>
        <v/>
      </c>
      <c r="D888" s="59">
        <f>B888*$B$11</f>
        <v/>
      </c>
    </row>
    <row r="889" ht="14" customHeight="1">
      <c r="A889" s="94" t="n">
        <v>875</v>
      </c>
      <c r="B889" s="95" t="n">
        <v>0.01163682</v>
      </c>
      <c r="C889" s="43">
        <f>EXP(B889)-1</f>
        <v/>
      </c>
      <c r="D889" s="57">
        <f>B889*$B$11</f>
        <v/>
      </c>
    </row>
    <row r="890" ht="14" customHeight="1">
      <c r="A890" s="96" t="n">
        <v>876</v>
      </c>
      <c r="B890" s="97" t="n">
        <v>-0.01195363</v>
      </c>
      <c r="C890" s="40">
        <f>EXP(B890)-1</f>
        <v/>
      </c>
      <c r="D890" s="59">
        <f>B890*$B$11</f>
        <v/>
      </c>
    </row>
    <row r="891" ht="14" customHeight="1">
      <c r="A891" s="94" t="n">
        <v>877</v>
      </c>
      <c r="B891" s="95" t="n">
        <v>0.00167651</v>
      </c>
      <c r="C891" s="43">
        <f>EXP(B891)-1</f>
        <v/>
      </c>
      <c r="D891" s="57">
        <f>B891*$B$11</f>
        <v/>
      </c>
    </row>
    <row r="892" ht="14" customHeight="1">
      <c r="A892" s="96" t="n">
        <v>878</v>
      </c>
      <c r="B892" s="97" t="n">
        <v>0.02661425</v>
      </c>
      <c r="C892" s="40">
        <f>EXP(B892)-1</f>
        <v/>
      </c>
      <c r="D892" s="59">
        <f>B892*$B$11</f>
        <v/>
      </c>
    </row>
    <row r="893" ht="14" customHeight="1">
      <c r="A893" s="94" t="n">
        <v>879</v>
      </c>
      <c r="B893" s="95" t="n">
        <v>0.00845306</v>
      </c>
      <c r="C893" s="43">
        <f>EXP(B893)-1</f>
        <v/>
      </c>
      <c r="D893" s="57">
        <f>B893*$B$11</f>
        <v/>
      </c>
    </row>
    <row r="894" ht="14" customHeight="1">
      <c r="A894" s="96" t="n">
        <v>880</v>
      </c>
      <c r="B894" s="97" t="n">
        <v>0.01059675</v>
      </c>
      <c r="C894" s="40">
        <f>EXP(B894)-1</f>
        <v/>
      </c>
      <c r="D894" s="59">
        <f>B894*$B$11</f>
        <v/>
      </c>
    </row>
    <row r="895" ht="14" customHeight="1">
      <c r="A895" s="94" t="n">
        <v>881</v>
      </c>
      <c r="B895" s="95" t="n">
        <v>-8.025e-05</v>
      </c>
      <c r="C895" s="43">
        <f>EXP(B895)-1</f>
        <v/>
      </c>
      <c r="D895" s="57">
        <f>B895*$B$11</f>
        <v/>
      </c>
    </row>
    <row r="896" ht="14" customHeight="1">
      <c r="A896" s="96" t="n">
        <v>882</v>
      </c>
      <c r="B896" s="97" t="n">
        <v>0.00936152</v>
      </c>
      <c r="C896" s="40">
        <f>EXP(B896)-1</f>
        <v/>
      </c>
      <c r="D896" s="59">
        <f>B896*$B$11</f>
        <v/>
      </c>
    </row>
    <row r="897" ht="14" customHeight="1">
      <c r="A897" s="94" t="n">
        <v>883</v>
      </c>
      <c r="B897" s="95" t="n">
        <v>0.02179788</v>
      </c>
      <c r="C897" s="43">
        <f>EXP(B897)-1</f>
        <v/>
      </c>
      <c r="D897" s="57">
        <f>B897*$B$11</f>
        <v/>
      </c>
    </row>
    <row r="898" ht="14" customHeight="1">
      <c r="A898" s="96" t="n">
        <v>884</v>
      </c>
      <c r="B898" s="97" t="n">
        <v>0.0014297</v>
      </c>
      <c r="C898" s="40">
        <f>EXP(B898)-1</f>
        <v/>
      </c>
      <c r="D898" s="59">
        <f>B898*$B$11</f>
        <v/>
      </c>
    </row>
    <row r="899" ht="14" customHeight="1">
      <c r="A899" s="94" t="n">
        <v>885</v>
      </c>
      <c r="B899" s="95" t="n">
        <v>0.01483774</v>
      </c>
      <c r="C899" s="43">
        <f>EXP(B899)-1</f>
        <v/>
      </c>
      <c r="D899" s="57">
        <f>B899*$B$11</f>
        <v/>
      </c>
    </row>
    <row r="900" ht="14" customHeight="1">
      <c r="A900" s="96" t="n">
        <v>886</v>
      </c>
      <c r="B900" s="97" t="n">
        <v>-0.01035167</v>
      </c>
      <c r="C900" s="40">
        <f>EXP(B900)-1</f>
        <v/>
      </c>
      <c r="D900" s="59">
        <f>B900*$B$11</f>
        <v/>
      </c>
    </row>
    <row r="901" ht="14" customHeight="1">
      <c r="A901" s="94" t="n">
        <v>887</v>
      </c>
      <c r="B901" s="95" t="n">
        <v>0.00723119</v>
      </c>
      <c r="C901" s="43">
        <f>EXP(B901)-1</f>
        <v/>
      </c>
      <c r="D901" s="57">
        <f>B901*$B$11</f>
        <v/>
      </c>
    </row>
    <row r="902" ht="14" customHeight="1">
      <c r="A902" s="96" t="n">
        <v>888</v>
      </c>
      <c r="B902" s="97" t="n">
        <v>0.0110006</v>
      </c>
      <c r="C902" s="40">
        <f>EXP(B902)-1</f>
        <v/>
      </c>
      <c r="D902" s="59">
        <f>B902*$B$11</f>
        <v/>
      </c>
    </row>
    <row r="903" ht="14" customHeight="1">
      <c r="A903" s="94" t="n">
        <v>889</v>
      </c>
      <c r="B903" s="95" t="n">
        <v>-0.00887404</v>
      </c>
      <c r="C903" s="43">
        <f>EXP(B903)-1</f>
        <v/>
      </c>
      <c r="D903" s="57">
        <f>B903*$B$11</f>
        <v/>
      </c>
    </row>
    <row r="904" ht="14" customHeight="1">
      <c r="A904" s="96" t="n">
        <v>890</v>
      </c>
      <c r="B904" s="97" t="n">
        <v>0.01332749</v>
      </c>
      <c r="C904" s="40">
        <f>EXP(B904)-1</f>
        <v/>
      </c>
      <c r="D904" s="59">
        <f>B904*$B$11</f>
        <v/>
      </c>
    </row>
    <row r="905" ht="14" customHeight="1">
      <c r="A905" s="94" t="n">
        <v>891</v>
      </c>
      <c r="B905" s="95" t="n">
        <v>-0.00795296</v>
      </c>
      <c r="C905" s="43">
        <f>EXP(B905)-1</f>
        <v/>
      </c>
      <c r="D905" s="57">
        <f>B905*$B$11</f>
        <v/>
      </c>
    </row>
    <row r="906" ht="14" customHeight="1">
      <c r="A906" s="96" t="n">
        <v>892</v>
      </c>
      <c r="B906" s="97" t="n">
        <v>-0.00951287</v>
      </c>
      <c r="C906" s="40">
        <f>EXP(B906)-1</f>
        <v/>
      </c>
      <c r="D906" s="59">
        <f>B906*$B$11</f>
        <v/>
      </c>
    </row>
    <row r="907" ht="14" customHeight="1">
      <c r="A907" s="94" t="n">
        <v>893</v>
      </c>
      <c r="B907" s="95" t="n">
        <v>0.00013569</v>
      </c>
      <c r="C907" s="43">
        <f>EXP(B907)-1</f>
        <v/>
      </c>
      <c r="D907" s="57">
        <f>B907*$B$11</f>
        <v/>
      </c>
    </row>
    <row r="908" ht="14" customHeight="1">
      <c r="A908" s="96" t="n">
        <v>894</v>
      </c>
      <c r="B908" s="97" t="n">
        <v>0.02333388</v>
      </c>
      <c r="C908" s="40">
        <f>EXP(B908)-1</f>
        <v/>
      </c>
      <c r="D908" s="59">
        <f>B908*$B$11</f>
        <v/>
      </c>
    </row>
    <row r="909" ht="14" customHeight="1">
      <c r="A909" s="94" t="n">
        <v>895</v>
      </c>
      <c r="B909" s="95" t="n">
        <v>0.00385984</v>
      </c>
      <c r="C909" s="43">
        <f>EXP(B909)-1</f>
        <v/>
      </c>
      <c r="D909" s="57">
        <f>B909*$B$11</f>
        <v/>
      </c>
    </row>
    <row r="910" ht="14" customHeight="1">
      <c r="A910" s="96" t="n">
        <v>896</v>
      </c>
      <c r="B910" s="97" t="n">
        <v>0.01137942</v>
      </c>
      <c r="C910" s="40">
        <f>EXP(B910)-1</f>
        <v/>
      </c>
      <c r="D910" s="59">
        <f>B910*$B$11</f>
        <v/>
      </c>
    </row>
    <row r="911" ht="14" customHeight="1">
      <c r="A911" s="94" t="n">
        <v>897</v>
      </c>
      <c r="B911" s="95" t="n">
        <v>-0.00863157</v>
      </c>
      <c r="C911" s="43">
        <f>EXP(B911)-1</f>
        <v/>
      </c>
      <c r="D911" s="57">
        <f>B911*$B$11</f>
        <v/>
      </c>
    </row>
    <row r="912" ht="14" customHeight="1">
      <c r="A912" s="96" t="n">
        <v>898</v>
      </c>
      <c r="B912" s="97" t="n">
        <v>0.00107997</v>
      </c>
      <c r="C912" s="40">
        <f>EXP(B912)-1</f>
        <v/>
      </c>
      <c r="D912" s="59">
        <f>B912*$B$11</f>
        <v/>
      </c>
    </row>
    <row r="913" ht="14" customHeight="1">
      <c r="A913" s="94" t="n">
        <v>899</v>
      </c>
      <c r="B913" s="95" t="n">
        <v>-0.01396868</v>
      </c>
      <c r="C913" s="43">
        <f>EXP(B913)-1</f>
        <v/>
      </c>
      <c r="D913" s="57">
        <f>B913*$B$11</f>
        <v/>
      </c>
    </row>
    <row r="914" ht="14" customHeight="1">
      <c r="A914" s="96" t="n">
        <v>900</v>
      </c>
      <c r="B914" s="97" t="n">
        <v>-0.00670328</v>
      </c>
      <c r="C914" s="40">
        <f>EXP(B914)-1</f>
        <v/>
      </c>
      <c r="D914" s="59">
        <f>B914*$B$11</f>
        <v/>
      </c>
    </row>
    <row r="915" ht="14" customHeight="1">
      <c r="A915" s="94" t="n">
        <v>901</v>
      </c>
      <c r="B915" s="95" t="n">
        <v>0.01017769</v>
      </c>
      <c r="C915" s="43">
        <f>EXP(B915)-1</f>
        <v/>
      </c>
      <c r="D915" s="57">
        <f>B915*$B$11</f>
        <v/>
      </c>
    </row>
    <row r="916" ht="14" customHeight="1">
      <c r="A916" s="96" t="n">
        <v>902</v>
      </c>
      <c r="B916" s="97" t="n">
        <v>-0.00031077</v>
      </c>
      <c r="C916" s="40">
        <f>EXP(B916)-1</f>
        <v/>
      </c>
      <c r="D916" s="59">
        <f>B916*$B$11</f>
        <v/>
      </c>
    </row>
    <row r="917" ht="14" customHeight="1">
      <c r="A917" s="94" t="n">
        <v>903</v>
      </c>
      <c r="B917" s="95" t="n">
        <v>0.01756556</v>
      </c>
      <c r="C917" s="43">
        <f>EXP(B917)-1</f>
        <v/>
      </c>
      <c r="D917" s="57">
        <f>B917*$B$11</f>
        <v/>
      </c>
    </row>
    <row r="918" ht="14" customHeight="1">
      <c r="A918" s="96" t="n">
        <v>904</v>
      </c>
      <c r="B918" s="97" t="n">
        <v>-0.002279</v>
      </c>
      <c r="C918" s="40">
        <f>EXP(B918)-1</f>
        <v/>
      </c>
      <c r="D918" s="59">
        <f>B918*$B$11</f>
        <v/>
      </c>
    </row>
    <row r="919" ht="14" customHeight="1">
      <c r="A919" s="94" t="n">
        <v>905</v>
      </c>
      <c r="B919" s="95" t="n">
        <v>-0.00222523</v>
      </c>
      <c r="C919" s="43">
        <f>EXP(B919)-1</f>
        <v/>
      </c>
      <c r="D919" s="57">
        <f>B919*$B$11</f>
        <v/>
      </c>
    </row>
    <row r="920" ht="14" customHeight="1">
      <c r="A920" s="96" t="n">
        <v>906</v>
      </c>
      <c r="B920" s="97" t="n">
        <v>0.01547018</v>
      </c>
      <c r="C920" s="40">
        <f>EXP(B920)-1</f>
        <v/>
      </c>
      <c r="D920" s="59">
        <f>B920*$B$11</f>
        <v/>
      </c>
    </row>
    <row r="921" ht="14" customHeight="1">
      <c r="A921" s="94" t="n">
        <v>907</v>
      </c>
      <c r="B921" s="95" t="n">
        <v>-0.0076334</v>
      </c>
      <c r="C921" s="43">
        <f>EXP(B921)-1</f>
        <v/>
      </c>
      <c r="D921" s="57">
        <f>B921*$B$11</f>
        <v/>
      </c>
    </row>
    <row r="922" ht="14" customHeight="1">
      <c r="A922" s="96" t="n">
        <v>908</v>
      </c>
      <c r="B922" s="97" t="n">
        <v>-0.01808718</v>
      </c>
      <c r="C922" s="40">
        <f>EXP(B922)-1</f>
        <v/>
      </c>
      <c r="D922" s="59">
        <f>B922*$B$11</f>
        <v/>
      </c>
    </row>
    <row r="923" ht="14" customHeight="1">
      <c r="A923" s="94" t="n">
        <v>909</v>
      </c>
      <c r="B923" s="95" t="n">
        <v>0.01576532</v>
      </c>
      <c r="C923" s="43">
        <f>EXP(B923)-1</f>
        <v/>
      </c>
      <c r="D923" s="57">
        <f>B923*$B$11</f>
        <v/>
      </c>
    </row>
    <row r="924" ht="14" customHeight="1">
      <c r="A924" s="96" t="n">
        <v>910</v>
      </c>
      <c r="B924" s="97" t="n">
        <v>0.00512025</v>
      </c>
      <c r="C924" s="40">
        <f>EXP(B924)-1</f>
        <v/>
      </c>
      <c r="D924" s="59">
        <f>B924*$B$11</f>
        <v/>
      </c>
    </row>
    <row r="925" ht="14" customHeight="1">
      <c r="A925" s="94" t="n">
        <v>911</v>
      </c>
      <c r="B925" s="95" t="n">
        <v>-0.02583234</v>
      </c>
      <c r="C925" s="43">
        <f>EXP(B925)-1</f>
        <v/>
      </c>
      <c r="D925" s="57">
        <f>B925*$B$11</f>
        <v/>
      </c>
    </row>
    <row r="926" ht="14" customHeight="1">
      <c r="A926" s="96" t="n">
        <v>912</v>
      </c>
      <c r="B926" s="97" t="n">
        <v>0.00068435</v>
      </c>
      <c r="C926" s="40">
        <f>EXP(B926)-1</f>
        <v/>
      </c>
      <c r="D926" s="59">
        <f>B926*$B$11</f>
        <v/>
      </c>
    </row>
    <row r="927" ht="14" customHeight="1">
      <c r="A927" s="94" t="n">
        <v>913</v>
      </c>
      <c r="B927" s="95" t="n">
        <v>-0.00469544</v>
      </c>
      <c r="C927" s="43">
        <f>EXP(B927)-1</f>
        <v/>
      </c>
      <c r="D927" s="57">
        <f>B927*$B$11</f>
        <v/>
      </c>
    </row>
    <row r="928" ht="14" customHeight="1">
      <c r="A928" s="96" t="n">
        <v>914</v>
      </c>
      <c r="B928" s="97" t="n">
        <v>0.02108808</v>
      </c>
      <c r="C928" s="40">
        <f>EXP(B928)-1</f>
        <v/>
      </c>
      <c r="D928" s="59">
        <f>B928*$B$11</f>
        <v/>
      </c>
    </row>
    <row r="929" ht="14" customHeight="1">
      <c r="A929" s="94" t="n">
        <v>915</v>
      </c>
      <c r="B929" s="95" t="n">
        <v>-0.0085979</v>
      </c>
      <c r="C929" s="43">
        <f>EXP(B929)-1</f>
        <v/>
      </c>
      <c r="D929" s="57">
        <f>B929*$B$11</f>
        <v/>
      </c>
    </row>
    <row r="930" ht="14" customHeight="1">
      <c r="A930" s="96" t="n">
        <v>916</v>
      </c>
      <c r="B930" s="97" t="n">
        <v>-0.00681922</v>
      </c>
      <c r="C930" s="40">
        <f>EXP(B930)-1</f>
        <v/>
      </c>
      <c r="D930" s="59">
        <f>B930*$B$11</f>
        <v/>
      </c>
    </row>
    <row r="931" ht="14" customHeight="1">
      <c r="A931" s="94" t="n">
        <v>917</v>
      </c>
      <c r="B931" s="95" t="n">
        <v>-0.01077481</v>
      </c>
      <c r="C931" s="43">
        <f>EXP(B931)-1</f>
        <v/>
      </c>
      <c r="D931" s="57">
        <f>B931*$B$11</f>
        <v/>
      </c>
    </row>
    <row r="932" ht="14" customHeight="1">
      <c r="A932" s="96" t="n">
        <v>918</v>
      </c>
      <c r="B932" s="97" t="n">
        <v>-0.01249867</v>
      </c>
      <c r="C932" s="40">
        <f>EXP(B932)-1</f>
        <v/>
      </c>
      <c r="D932" s="59">
        <f>B932*$B$11</f>
        <v/>
      </c>
    </row>
    <row r="933" ht="14" customHeight="1">
      <c r="A933" s="94" t="n">
        <v>919</v>
      </c>
      <c r="B933" s="95" t="n">
        <v>-0.00825595</v>
      </c>
      <c r="C933" s="43">
        <f>EXP(B933)-1</f>
        <v/>
      </c>
      <c r="D933" s="57">
        <f>B933*$B$11</f>
        <v/>
      </c>
    </row>
    <row r="934" ht="14" customHeight="1">
      <c r="A934" s="96" t="n">
        <v>920</v>
      </c>
      <c r="B934" s="97" t="n">
        <v>-0.01708109</v>
      </c>
      <c r="C934" s="40">
        <f>EXP(B934)-1</f>
        <v/>
      </c>
      <c r="D934" s="59">
        <f>B934*$B$11</f>
        <v/>
      </c>
    </row>
    <row r="935" ht="14" customHeight="1">
      <c r="A935" s="94" t="n">
        <v>921</v>
      </c>
      <c r="B935" s="95" t="n">
        <v>-0.01222437</v>
      </c>
      <c r="C935" s="43">
        <f>EXP(B935)-1</f>
        <v/>
      </c>
      <c r="D935" s="57">
        <f>B935*$B$11</f>
        <v/>
      </c>
    </row>
    <row r="936" ht="14" customHeight="1">
      <c r="A936" s="96" t="n">
        <v>922</v>
      </c>
      <c r="B936" s="97" t="n">
        <v>-0.01912902</v>
      </c>
      <c r="C936" s="40">
        <f>EXP(B936)-1</f>
        <v/>
      </c>
      <c r="D936" s="59">
        <f>B936*$B$11</f>
        <v/>
      </c>
    </row>
    <row r="937" ht="14" customHeight="1">
      <c r="A937" s="94" t="n">
        <v>923</v>
      </c>
      <c r="B937" s="95" t="n">
        <v>-0.01781734</v>
      </c>
      <c r="C937" s="43">
        <f>EXP(B937)-1</f>
        <v/>
      </c>
      <c r="D937" s="57">
        <f>B937*$B$11</f>
        <v/>
      </c>
    </row>
    <row r="938" ht="14" customHeight="1">
      <c r="A938" s="96" t="n">
        <v>924</v>
      </c>
      <c r="B938" s="97" t="n">
        <v>-0.0185661</v>
      </c>
      <c r="C938" s="40">
        <f>EXP(B938)-1</f>
        <v/>
      </c>
      <c r="D938" s="59">
        <f>B938*$B$11</f>
        <v/>
      </c>
    </row>
    <row r="939" ht="14" customHeight="1">
      <c r="A939" s="94" t="n">
        <v>925</v>
      </c>
      <c r="B939" s="95" t="n">
        <v>-0.00610391</v>
      </c>
      <c r="C939" s="43">
        <f>EXP(B939)-1</f>
        <v/>
      </c>
      <c r="D939" s="57">
        <f>B939*$B$11</f>
        <v/>
      </c>
    </row>
    <row r="940" ht="14" customHeight="1">
      <c r="A940" s="96" t="n">
        <v>926</v>
      </c>
      <c r="B940" s="97" t="n">
        <v>-0.008054260000000001</v>
      </c>
      <c r="C940" s="40">
        <f>EXP(B940)-1</f>
        <v/>
      </c>
      <c r="D940" s="59">
        <f>B940*$B$11</f>
        <v/>
      </c>
    </row>
    <row r="941" ht="14" customHeight="1">
      <c r="A941" s="94" t="n">
        <v>927</v>
      </c>
      <c r="B941" s="95" t="n">
        <v>-0.01456764</v>
      </c>
      <c r="C941" s="43">
        <f>EXP(B941)-1</f>
        <v/>
      </c>
      <c r="D941" s="57">
        <f>B941*$B$11</f>
        <v/>
      </c>
    </row>
    <row r="942" ht="14" customHeight="1">
      <c r="A942" s="96" t="n">
        <v>928</v>
      </c>
      <c r="B942" s="97" t="n">
        <v>0.00588925</v>
      </c>
      <c r="C942" s="40">
        <f>EXP(B942)-1</f>
        <v/>
      </c>
      <c r="D942" s="59">
        <f>B942*$B$11</f>
        <v/>
      </c>
    </row>
    <row r="943" ht="14" customHeight="1">
      <c r="A943" s="94" t="n">
        <v>929</v>
      </c>
      <c r="B943" s="95" t="n">
        <v>-0.00042691</v>
      </c>
      <c r="C943" s="43">
        <f>EXP(B943)-1</f>
        <v/>
      </c>
      <c r="D943" s="57">
        <f>B943*$B$11</f>
        <v/>
      </c>
    </row>
    <row r="944" ht="14" customHeight="1">
      <c r="A944" s="96" t="n">
        <v>930</v>
      </c>
      <c r="B944" s="97" t="n">
        <v>-0.00503371</v>
      </c>
      <c r="C944" s="40">
        <f>EXP(B944)-1</f>
        <v/>
      </c>
      <c r="D944" s="59">
        <f>B944*$B$11</f>
        <v/>
      </c>
    </row>
    <row r="945" ht="14" customHeight="1">
      <c r="A945" s="94" t="n">
        <v>931</v>
      </c>
      <c r="B945" s="95" t="n">
        <v>-0.00541768</v>
      </c>
      <c r="C945" s="43">
        <f>EXP(B945)-1</f>
        <v/>
      </c>
      <c r="D945" s="57">
        <f>B945*$B$11</f>
        <v/>
      </c>
    </row>
    <row r="946" ht="14" customHeight="1">
      <c r="A946" s="96" t="n">
        <v>932</v>
      </c>
      <c r="B946" s="97" t="n">
        <v>0.01926455</v>
      </c>
      <c r="C946" s="40">
        <f>EXP(B946)-1</f>
        <v/>
      </c>
      <c r="D946" s="59">
        <f>B946*$B$11</f>
        <v/>
      </c>
    </row>
    <row r="947" ht="14" customHeight="1">
      <c r="A947" s="94" t="n">
        <v>933</v>
      </c>
      <c r="B947" s="95" t="n">
        <v>0.00302777</v>
      </c>
      <c r="C947" s="43">
        <f>EXP(B947)-1</f>
        <v/>
      </c>
      <c r="D947" s="57">
        <f>B947*$B$11</f>
        <v/>
      </c>
    </row>
    <row r="948" ht="14" customHeight="1">
      <c r="A948" s="96" t="n">
        <v>934</v>
      </c>
      <c r="B948" s="97" t="n">
        <v>0.00585454</v>
      </c>
      <c r="C948" s="40">
        <f>EXP(B948)-1</f>
        <v/>
      </c>
      <c r="D948" s="59">
        <f>B948*$B$11</f>
        <v/>
      </c>
    </row>
    <row r="949" ht="14" customHeight="1">
      <c r="A949" s="94" t="n">
        <v>935</v>
      </c>
      <c r="B949" s="95" t="n">
        <v>-0.03088248</v>
      </c>
      <c r="C949" s="43">
        <f>EXP(B949)-1</f>
        <v/>
      </c>
      <c r="D949" s="57">
        <f>B949*$B$11</f>
        <v/>
      </c>
    </row>
    <row r="950" ht="14" customHeight="1">
      <c r="A950" s="96" t="n">
        <v>936</v>
      </c>
      <c r="B950" s="97" t="n">
        <v>-0.00769481</v>
      </c>
      <c r="C950" s="40">
        <f>EXP(B950)-1</f>
        <v/>
      </c>
      <c r="D950" s="59">
        <f>B950*$B$11</f>
        <v/>
      </c>
    </row>
    <row r="951" ht="14" customHeight="1">
      <c r="A951" s="94" t="n">
        <v>937</v>
      </c>
      <c r="B951" s="95" t="n">
        <v>-0.02590208</v>
      </c>
      <c r="C951" s="43">
        <f>EXP(B951)-1</f>
        <v/>
      </c>
      <c r="D951" s="57">
        <f>B951*$B$11</f>
        <v/>
      </c>
    </row>
    <row r="952" ht="14" customHeight="1">
      <c r="A952" s="96" t="n">
        <v>938</v>
      </c>
      <c r="B952" s="97" t="n">
        <v>-0.00496445</v>
      </c>
      <c r="C952" s="40">
        <f>EXP(B952)-1</f>
        <v/>
      </c>
      <c r="D952" s="59">
        <f>B952*$B$11</f>
        <v/>
      </c>
    </row>
    <row r="953" ht="14" customHeight="1">
      <c r="A953" s="94" t="n">
        <v>939</v>
      </c>
      <c r="B953" s="95" t="n">
        <v>0.00462972</v>
      </c>
      <c r="C953" s="43">
        <f>EXP(B953)-1</f>
        <v/>
      </c>
      <c r="D953" s="57">
        <f>B953*$B$11</f>
        <v/>
      </c>
    </row>
    <row r="954" ht="14" customHeight="1">
      <c r="A954" s="96" t="n">
        <v>940</v>
      </c>
      <c r="B954" s="97" t="n">
        <v>-0.00794157</v>
      </c>
      <c r="C954" s="40">
        <f>EXP(B954)-1</f>
        <v/>
      </c>
      <c r="D954" s="59">
        <f>B954*$B$11</f>
        <v/>
      </c>
    </row>
    <row r="955" ht="14" customHeight="1">
      <c r="A955" s="94" t="n">
        <v>941</v>
      </c>
      <c r="B955" s="95" t="n">
        <v>0.00637331</v>
      </c>
      <c r="C955" s="43">
        <f>EXP(B955)-1</f>
        <v/>
      </c>
      <c r="D955" s="57">
        <f>B955*$B$11</f>
        <v/>
      </c>
    </row>
    <row r="956" ht="14" customHeight="1">
      <c r="A956" s="96" t="n">
        <v>942</v>
      </c>
      <c r="B956" s="97" t="n">
        <v>-0.012123</v>
      </c>
      <c r="C956" s="40">
        <f>EXP(B956)-1</f>
        <v/>
      </c>
      <c r="D956" s="59">
        <f>B956*$B$11</f>
        <v/>
      </c>
    </row>
    <row r="957" ht="14" customHeight="1">
      <c r="A957" s="94" t="n">
        <v>943</v>
      </c>
      <c r="B957" s="95" t="n">
        <v>0.00705964</v>
      </c>
      <c r="C957" s="43">
        <f>EXP(B957)-1</f>
        <v/>
      </c>
      <c r="D957" s="57">
        <f>B957*$B$11</f>
        <v/>
      </c>
    </row>
    <row r="958" ht="14" customHeight="1">
      <c r="A958" s="96" t="n">
        <v>944</v>
      </c>
      <c r="B958" s="97" t="n">
        <v>-0.01849331</v>
      </c>
      <c r="C958" s="40">
        <f>EXP(B958)-1</f>
        <v/>
      </c>
      <c r="D958" s="59">
        <f>B958*$B$11</f>
        <v/>
      </c>
    </row>
    <row r="959" ht="14" customHeight="1">
      <c r="A959" s="94" t="n">
        <v>945</v>
      </c>
      <c r="B959" s="95" t="n">
        <v>-0.00299026</v>
      </c>
      <c r="C959" s="43">
        <f>EXP(B959)-1</f>
        <v/>
      </c>
      <c r="D959" s="57">
        <f>B959*$B$11</f>
        <v/>
      </c>
    </row>
    <row r="960" ht="14" customHeight="1">
      <c r="A960" s="96" t="n">
        <v>946</v>
      </c>
      <c r="B960" s="97" t="n">
        <v>0.00518769</v>
      </c>
      <c r="C960" s="40">
        <f>EXP(B960)-1</f>
        <v/>
      </c>
      <c r="D960" s="59">
        <f>B960*$B$11</f>
        <v/>
      </c>
    </row>
    <row r="961" ht="14" customHeight="1">
      <c r="A961" s="94" t="n">
        <v>947</v>
      </c>
      <c r="B961" s="95" t="n">
        <v>0.00658105</v>
      </c>
      <c r="C961" s="43">
        <f>EXP(B961)-1</f>
        <v/>
      </c>
      <c r="D961" s="57">
        <f>B961*$B$11</f>
        <v/>
      </c>
    </row>
    <row r="962" ht="14" customHeight="1">
      <c r="A962" s="96" t="n">
        <v>948</v>
      </c>
      <c r="B962" s="97" t="n">
        <v>-0.00137716</v>
      </c>
      <c r="C962" s="40">
        <f>EXP(B962)-1</f>
        <v/>
      </c>
      <c r="D962" s="59">
        <f>B962*$B$11</f>
        <v/>
      </c>
    </row>
    <row r="963" ht="14" customHeight="1">
      <c r="A963" s="94" t="n">
        <v>949</v>
      </c>
      <c r="B963" s="95" t="n">
        <v>0.02342657</v>
      </c>
      <c r="C963" s="43">
        <f>EXP(B963)-1</f>
        <v/>
      </c>
      <c r="D963" s="57">
        <f>B963*$B$11</f>
        <v/>
      </c>
    </row>
    <row r="964" ht="14" customHeight="1">
      <c r="A964" s="96" t="n">
        <v>950</v>
      </c>
      <c r="B964" s="97" t="n">
        <v>-0.00482304</v>
      </c>
      <c r="C964" s="40">
        <f>EXP(B964)-1</f>
        <v/>
      </c>
      <c r="D964" s="59">
        <f>B964*$B$11</f>
        <v/>
      </c>
    </row>
    <row r="965" ht="14" customHeight="1">
      <c r="A965" s="94" t="n">
        <v>951</v>
      </c>
      <c r="B965" s="95" t="n">
        <v>-0.00526195</v>
      </c>
      <c r="C965" s="43">
        <f>EXP(B965)-1</f>
        <v/>
      </c>
      <c r="D965" s="57">
        <f>B965*$B$11</f>
        <v/>
      </c>
    </row>
    <row r="966" ht="14" customHeight="1">
      <c r="A966" s="96" t="n">
        <v>952</v>
      </c>
      <c r="B966" s="97" t="n">
        <v>-0.03296409</v>
      </c>
      <c r="C966" s="40">
        <f>EXP(B966)-1</f>
        <v/>
      </c>
      <c r="D966" s="59">
        <f>B966*$B$11</f>
        <v/>
      </c>
    </row>
    <row r="967" ht="14" customHeight="1">
      <c r="A967" s="94" t="n">
        <v>953</v>
      </c>
      <c r="B967" s="95" t="n">
        <v>0.02137721</v>
      </c>
      <c r="C967" s="43">
        <f>EXP(B967)-1</f>
        <v/>
      </c>
      <c r="D967" s="57">
        <f>B967*$B$11</f>
        <v/>
      </c>
    </row>
    <row r="968" ht="14" customHeight="1">
      <c r="A968" s="96" t="n">
        <v>954</v>
      </c>
      <c r="B968" s="97" t="n">
        <v>-0.00427798</v>
      </c>
      <c r="C968" s="40">
        <f>EXP(B968)-1</f>
        <v/>
      </c>
      <c r="D968" s="59">
        <f>B968*$B$11</f>
        <v/>
      </c>
    </row>
    <row r="969" ht="14" customHeight="1">
      <c r="A969" s="94" t="n">
        <v>955</v>
      </c>
      <c r="B969" s="95" t="n">
        <v>-0.01396219</v>
      </c>
      <c r="C969" s="43">
        <f>EXP(B969)-1</f>
        <v/>
      </c>
      <c r="D969" s="57">
        <f>B969*$B$11</f>
        <v/>
      </c>
    </row>
    <row r="970" ht="14" customHeight="1">
      <c r="A970" s="96" t="n">
        <v>956</v>
      </c>
      <c r="B970" s="97" t="n">
        <v>0.01600085</v>
      </c>
      <c r="C970" s="40">
        <f>EXP(B970)-1</f>
        <v/>
      </c>
      <c r="D970" s="59">
        <f>B970*$B$11</f>
        <v/>
      </c>
    </row>
    <row r="971" ht="14" customHeight="1">
      <c r="A971" s="94" t="n">
        <v>957</v>
      </c>
      <c r="B971" s="95" t="n">
        <v>0.01497607</v>
      </c>
      <c r="C971" s="43">
        <f>EXP(B971)-1</f>
        <v/>
      </c>
      <c r="D971" s="57">
        <f>B971*$B$11</f>
        <v/>
      </c>
    </row>
    <row r="972" ht="14" customHeight="1">
      <c r="A972" s="96" t="n">
        <v>958</v>
      </c>
      <c r="B972" s="97" t="n">
        <v>0.00144991</v>
      </c>
      <c r="C972" s="40">
        <f>EXP(B972)-1</f>
        <v/>
      </c>
      <c r="D972" s="59">
        <f>B972*$B$11</f>
        <v/>
      </c>
    </row>
    <row r="973" ht="14" customHeight="1">
      <c r="A973" s="94" t="n">
        <v>959</v>
      </c>
      <c r="B973" s="95" t="n">
        <v>-0.01706906</v>
      </c>
      <c r="C973" s="43">
        <f>EXP(B973)-1</f>
        <v/>
      </c>
      <c r="D973" s="57">
        <f>B973*$B$11</f>
        <v/>
      </c>
    </row>
    <row r="974" ht="14" customHeight="1">
      <c r="A974" s="96" t="n">
        <v>960</v>
      </c>
      <c r="B974" s="97" t="n">
        <v>0.00517771</v>
      </c>
      <c r="C974" s="40">
        <f>EXP(B974)-1</f>
        <v/>
      </c>
      <c r="D974" s="59">
        <f>B974*$B$11</f>
        <v/>
      </c>
    </row>
    <row r="975" ht="14" customHeight="1">
      <c r="A975" s="94" t="n">
        <v>961</v>
      </c>
      <c r="B975" s="95" t="n">
        <v>-0.0073067</v>
      </c>
      <c r="C975" s="43">
        <f>EXP(B975)-1</f>
        <v/>
      </c>
      <c r="D975" s="57">
        <f>B975*$B$11</f>
        <v/>
      </c>
    </row>
    <row r="976" ht="14" customHeight="1">
      <c r="A976" s="96" t="n">
        <v>962</v>
      </c>
      <c r="B976" s="97" t="n">
        <v>-0.01389926</v>
      </c>
      <c r="C976" s="40">
        <f>EXP(B976)-1</f>
        <v/>
      </c>
      <c r="D976" s="59">
        <f>B976*$B$11</f>
        <v/>
      </c>
    </row>
    <row r="977" ht="14" customHeight="1">
      <c r="A977" s="94" t="n">
        <v>963</v>
      </c>
      <c r="B977" s="95" t="n">
        <v>0.01267047</v>
      </c>
      <c r="C977" s="43">
        <f>EXP(B977)-1</f>
        <v/>
      </c>
      <c r="D977" s="57">
        <f>B977*$B$11</f>
        <v/>
      </c>
    </row>
    <row r="978" ht="14" customHeight="1">
      <c r="A978" s="96" t="n">
        <v>964</v>
      </c>
      <c r="B978" s="97" t="n">
        <v>-0.02544111</v>
      </c>
      <c r="C978" s="40">
        <f>EXP(B978)-1</f>
        <v/>
      </c>
      <c r="D978" s="59">
        <f>B978*$B$11</f>
        <v/>
      </c>
    </row>
    <row r="979" ht="14" customHeight="1">
      <c r="A979" s="94" t="n">
        <v>965</v>
      </c>
      <c r="B979" s="95" t="n">
        <v>0.00695596</v>
      </c>
      <c r="C979" s="43">
        <f>EXP(B979)-1</f>
        <v/>
      </c>
      <c r="D979" s="57">
        <f>B979*$B$11</f>
        <v/>
      </c>
    </row>
    <row r="980" ht="14" customHeight="1">
      <c r="A980" s="96" t="n">
        <v>966</v>
      </c>
      <c r="B980" s="97" t="n">
        <v>0.00566226</v>
      </c>
      <c r="C980" s="40">
        <f>EXP(B980)-1</f>
        <v/>
      </c>
      <c r="D980" s="59">
        <f>B980*$B$11</f>
        <v/>
      </c>
    </row>
    <row r="981" ht="14" customHeight="1">
      <c r="A981" s="94" t="n">
        <v>967</v>
      </c>
      <c r="B981" s="95" t="n">
        <v>0.02476213</v>
      </c>
      <c r="C981" s="43">
        <f>EXP(B981)-1</f>
        <v/>
      </c>
      <c r="D981" s="57">
        <f>B981*$B$11</f>
        <v/>
      </c>
    </row>
    <row r="982" ht="14" customHeight="1">
      <c r="A982" s="96" t="n">
        <v>968</v>
      </c>
      <c r="B982" s="97" t="n">
        <v>0.00405209</v>
      </c>
      <c r="C982" s="40">
        <f>EXP(B982)-1</f>
        <v/>
      </c>
      <c r="D982" s="59">
        <f>B982*$B$11</f>
        <v/>
      </c>
    </row>
    <row r="983" ht="14" customHeight="1">
      <c r="A983" s="94" t="n">
        <v>969</v>
      </c>
      <c r="B983" s="95" t="n">
        <v>-0.02455118</v>
      </c>
      <c r="C983" s="43">
        <f>EXP(B983)-1</f>
        <v/>
      </c>
      <c r="D983" s="57">
        <f>B983*$B$11</f>
        <v/>
      </c>
    </row>
    <row r="984" ht="14" customHeight="1">
      <c r="A984" s="96" t="n">
        <v>970</v>
      </c>
      <c r="B984" s="97" t="n">
        <v>-0.00988345</v>
      </c>
      <c r="C984" s="40">
        <f>EXP(B984)-1</f>
        <v/>
      </c>
      <c r="D984" s="59">
        <f>B984*$B$11</f>
        <v/>
      </c>
    </row>
    <row r="985" ht="14" customHeight="1">
      <c r="A985" s="94" t="n">
        <v>971</v>
      </c>
      <c r="B985" s="95" t="n">
        <v>0.000926</v>
      </c>
      <c r="C985" s="43">
        <f>EXP(B985)-1</f>
        <v/>
      </c>
      <c r="D985" s="57">
        <f>B985*$B$11</f>
        <v/>
      </c>
    </row>
    <row r="986" ht="14" customHeight="1">
      <c r="A986" s="96" t="n">
        <v>972</v>
      </c>
      <c r="B986" s="97" t="n">
        <v>0.00441676</v>
      </c>
      <c r="C986" s="40">
        <f>EXP(B986)-1</f>
        <v/>
      </c>
      <c r="D986" s="59">
        <f>B986*$B$11</f>
        <v/>
      </c>
    </row>
    <row r="987" ht="14" customHeight="1">
      <c r="A987" s="94" t="n">
        <v>973</v>
      </c>
      <c r="B987" s="95" t="n">
        <v>0.01191979</v>
      </c>
      <c r="C987" s="43">
        <f>EXP(B987)-1</f>
        <v/>
      </c>
      <c r="D987" s="57">
        <f>B987*$B$11</f>
        <v/>
      </c>
    </row>
    <row r="988" ht="14" customHeight="1">
      <c r="A988" s="96" t="n">
        <v>974</v>
      </c>
      <c r="B988" s="97" t="n">
        <v>-0.02336611</v>
      </c>
      <c r="C988" s="40">
        <f>EXP(B988)-1</f>
        <v/>
      </c>
      <c r="D988" s="59">
        <f>B988*$B$11</f>
        <v/>
      </c>
    </row>
    <row r="989" ht="14" customHeight="1">
      <c r="A989" s="94" t="n">
        <v>975</v>
      </c>
      <c r="B989" s="95" t="n">
        <v>-0.0038094</v>
      </c>
      <c r="C989" s="43">
        <f>EXP(B989)-1</f>
        <v/>
      </c>
      <c r="D989" s="57">
        <f>B989*$B$11</f>
        <v/>
      </c>
    </row>
    <row r="990" ht="14" customHeight="1">
      <c r="A990" s="96" t="n">
        <v>976</v>
      </c>
      <c r="B990" s="97" t="n">
        <v>0.01178833</v>
      </c>
      <c r="C990" s="40">
        <f>EXP(B990)-1</f>
        <v/>
      </c>
      <c r="D990" s="59">
        <f>B990*$B$11</f>
        <v/>
      </c>
    </row>
    <row r="991" ht="14" customHeight="1">
      <c r="A991" s="94" t="n">
        <v>977</v>
      </c>
      <c r="B991" s="95" t="n">
        <v>0.01867764</v>
      </c>
      <c r="C991" s="43">
        <f>EXP(B991)-1</f>
        <v/>
      </c>
      <c r="D991" s="57">
        <f>B991*$B$11</f>
        <v/>
      </c>
    </row>
    <row r="992" ht="14" customHeight="1">
      <c r="A992" s="96" t="n">
        <v>978</v>
      </c>
      <c r="B992" s="97" t="n">
        <v>0.02248229</v>
      </c>
      <c r="C992" s="40">
        <f>EXP(B992)-1</f>
        <v/>
      </c>
      <c r="D992" s="59">
        <f>B992*$B$11</f>
        <v/>
      </c>
    </row>
    <row r="993" ht="14" customHeight="1">
      <c r="A993" s="94" t="n">
        <v>979</v>
      </c>
      <c r="B993" s="95" t="n">
        <v>-0.00453263</v>
      </c>
      <c r="C993" s="43">
        <f>EXP(B993)-1</f>
        <v/>
      </c>
      <c r="D993" s="57">
        <f>B993*$B$11</f>
        <v/>
      </c>
    </row>
    <row r="994" ht="14" customHeight="1">
      <c r="A994" s="96" t="n">
        <v>980</v>
      </c>
      <c r="B994" s="97" t="n">
        <v>0.01332126</v>
      </c>
      <c r="C994" s="40">
        <f>EXP(B994)-1</f>
        <v/>
      </c>
      <c r="D994" s="59">
        <f>B994*$B$11</f>
        <v/>
      </c>
    </row>
    <row r="995" ht="14" customHeight="1">
      <c r="A995" s="94" t="n">
        <v>981</v>
      </c>
      <c r="B995" s="95" t="n">
        <v>0.02069055</v>
      </c>
      <c r="C995" s="43">
        <f>EXP(B995)-1</f>
        <v/>
      </c>
      <c r="D995" s="57">
        <f>B995*$B$11</f>
        <v/>
      </c>
    </row>
    <row r="996" ht="14" customHeight="1">
      <c r="A996" s="96" t="n">
        <v>982</v>
      </c>
      <c r="B996" s="97" t="n">
        <v>0.01452683</v>
      </c>
      <c r="C996" s="40">
        <f>EXP(B996)-1</f>
        <v/>
      </c>
      <c r="D996" s="59">
        <f>B996*$B$11</f>
        <v/>
      </c>
    </row>
    <row r="997" ht="14" customHeight="1">
      <c r="A997" s="94" t="n">
        <v>983</v>
      </c>
      <c r="B997" s="95" t="n">
        <v>0.00883422</v>
      </c>
      <c r="C997" s="43">
        <f>EXP(B997)-1</f>
        <v/>
      </c>
      <c r="D997" s="57">
        <f>B997*$B$11</f>
        <v/>
      </c>
    </row>
    <row r="998" ht="14" customHeight="1">
      <c r="A998" s="96" t="n">
        <v>984</v>
      </c>
      <c r="B998" s="97" t="n">
        <v>0.01008356</v>
      </c>
      <c r="C998" s="40">
        <f>EXP(B998)-1</f>
        <v/>
      </c>
      <c r="D998" s="59">
        <f>B998*$B$11</f>
        <v/>
      </c>
    </row>
    <row r="999" ht="14" customHeight="1">
      <c r="A999" s="94" t="n">
        <v>985</v>
      </c>
      <c r="B999" s="95" t="n">
        <v>-0.009328609999999999</v>
      </c>
      <c r="C999" s="43">
        <f>EXP(B999)-1</f>
        <v/>
      </c>
      <c r="D999" s="57">
        <f>B999*$B$11</f>
        <v/>
      </c>
    </row>
    <row r="1000" ht="14" customHeight="1">
      <c r="A1000" s="96" t="n">
        <v>986</v>
      </c>
      <c r="B1000" s="97" t="n">
        <v>-0.017217</v>
      </c>
      <c r="C1000" s="40">
        <f>EXP(B1000)-1</f>
        <v/>
      </c>
      <c r="D1000" s="59">
        <f>B1000*$B$11</f>
        <v/>
      </c>
    </row>
    <row r="1001" ht="14" customHeight="1">
      <c r="A1001" s="94" t="n">
        <v>987</v>
      </c>
      <c r="B1001" s="95" t="n">
        <v>0.01194418</v>
      </c>
      <c r="C1001" s="43">
        <f>EXP(B1001)-1</f>
        <v/>
      </c>
      <c r="D1001" s="57">
        <f>B1001*$B$11</f>
        <v/>
      </c>
    </row>
    <row r="1002" ht="14" customHeight="1">
      <c r="A1002" s="96" t="n">
        <v>988</v>
      </c>
      <c r="B1002" s="97" t="n">
        <v>-0.0040148</v>
      </c>
      <c r="C1002" s="40">
        <f>EXP(B1002)-1</f>
        <v/>
      </c>
      <c r="D1002" s="59">
        <f>B1002*$B$11</f>
        <v/>
      </c>
    </row>
    <row r="1003" ht="14" customHeight="1">
      <c r="A1003" s="94" t="n">
        <v>989</v>
      </c>
      <c r="B1003" s="95" t="n">
        <v>-0.0001876</v>
      </c>
      <c r="C1003" s="43">
        <f>EXP(B1003)-1</f>
        <v/>
      </c>
      <c r="D1003" s="57">
        <f>B1003*$B$11</f>
        <v/>
      </c>
    </row>
    <row r="1004" ht="14" customHeight="1">
      <c r="A1004" s="96" t="n">
        <v>990</v>
      </c>
      <c r="B1004" s="97" t="n">
        <v>-0.00679464</v>
      </c>
      <c r="C1004" s="40">
        <f>EXP(B1004)-1</f>
        <v/>
      </c>
      <c r="D1004" s="59">
        <f>B1004*$B$11</f>
        <v/>
      </c>
    </row>
    <row r="1005" ht="14" customHeight="1">
      <c r="A1005" s="94" t="n">
        <v>991</v>
      </c>
      <c r="B1005" s="95" t="n">
        <v>-0.00456488</v>
      </c>
      <c r="C1005" s="43">
        <f>EXP(B1005)-1</f>
        <v/>
      </c>
      <c r="D1005" s="57">
        <f>B1005*$B$11</f>
        <v/>
      </c>
    </row>
    <row r="1006" ht="14" customHeight="1">
      <c r="A1006" s="96" t="n">
        <v>992</v>
      </c>
      <c r="B1006" s="97" t="n">
        <v>0.00294299</v>
      </c>
      <c r="C1006" s="40">
        <f>EXP(B1006)-1</f>
        <v/>
      </c>
      <c r="D1006" s="59">
        <f>B1006*$B$11</f>
        <v/>
      </c>
    </row>
    <row r="1007" ht="14" customHeight="1">
      <c r="A1007" s="94" t="n">
        <v>993</v>
      </c>
      <c r="B1007" s="95" t="n">
        <v>-0.01211231</v>
      </c>
      <c r="C1007" s="43">
        <f>EXP(B1007)-1</f>
        <v/>
      </c>
      <c r="D1007" s="57">
        <f>B1007*$B$11</f>
        <v/>
      </c>
    </row>
    <row r="1008" ht="14" customHeight="1">
      <c r="A1008" s="96" t="n">
        <v>994</v>
      </c>
      <c r="B1008" s="97" t="n">
        <v>0.000972</v>
      </c>
      <c r="C1008" s="40">
        <f>EXP(B1008)-1</f>
        <v/>
      </c>
      <c r="D1008" s="59">
        <f>B1008*$B$11</f>
        <v/>
      </c>
    </row>
    <row r="1009" ht="14" customHeight="1">
      <c r="A1009" s="94" t="n">
        <v>995</v>
      </c>
      <c r="B1009" s="95" t="n">
        <v>0.00310266</v>
      </c>
      <c r="C1009" s="43">
        <f>EXP(B1009)-1</f>
        <v/>
      </c>
      <c r="D1009" s="57">
        <f>B1009*$B$11</f>
        <v/>
      </c>
    </row>
    <row r="1010" ht="14" customHeight="1">
      <c r="A1010" s="96" t="n">
        <v>996</v>
      </c>
      <c r="B1010" s="97" t="n">
        <v>-0.00077827</v>
      </c>
      <c r="C1010" s="40">
        <f>EXP(B1010)-1</f>
        <v/>
      </c>
      <c r="D1010" s="59">
        <f>B1010*$B$11</f>
        <v/>
      </c>
    </row>
    <row r="1011" ht="14" customHeight="1">
      <c r="A1011" s="94" t="n">
        <v>997</v>
      </c>
      <c r="B1011" s="95" t="n">
        <v>-0.00877356</v>
      </c>
      <c r="C1011" s="43">
        <f>EXP(B1011)-1</f>
        <v/>
      </c>
      <c r="D1011" s="57">
        <f>B1011*$B$11</f>
        <v/>
      </c>
    </row>
    <row r="1012" ht="14" customHeight="1">
      <c r="A1012" s="96" t="n">
        <v>998</v>
      </c>
      <c r="B1012" s="97" t="n">
        <v>0.009589439999999999</v>
      </c>
      <c r="C1012" s="40">
        <f>EXP(B1012)-1</f>
        <v/>
      </c>
      <c r="D1012" s="59">
        <f>B1012*$B$11</f>
        <v/>
      </c>
    </row>
    <row r="1013" ht="14" customHeight="1">
      <c r="A1013" s="94" t="n">
        <v>999</v>
      </c>
      <c r="B1013" s="95" t="n">
        <v>0.02262164</v>
      </c>
      <c r="C1013" s="43">
        <f>EXP(B1013)-1</f>
        <v/>
      </c>
      <c r="D1013" s="57">
        <f>B1013*$B$11</f>
        <v/>
      </c>
    </row>
    <row r="1014" ht="14" customHeight="1">
      <c r="A1014" s="96" t="n">
        <v>1000</v>
      </c>
      <c r="B1014" s="97" t="n">
        <v>-0.00706492</v>
      </c>
      <c r="C1014" s="40">
        <f>EXP(B1014)-1</f>
        <v/>
      </c>
      <c r="D1014" s="59">
        <f>B1014*$B$11</f>
        <v/>
      </c>
    </row>
    <row r="1016">
      <c r="A1016" s="10" t="inlineStr">
        <is>
          <t>RESULTADOS – VaR MONTE CARLO</t>
        </is>
      </c>
    </row>
    <row r="1017">
      <c r="A1017" s="24" t="inlineStr">
        <is>
          <t>VaR 99% 1d (%)</t>
        </is>
      </c>
      <c r="B1017" s="44">
        <f>ABS(PERCENTILE(B15:B1014,0.01))</f>
        <v/>
      </c>
      <c r="C1017" s="13" t="n"/>
      <c r="D1017" s="14" t="n"/>
    </row>
    <row r="1018">
      <c r="A1018" s="20" t="inlineStr">
        <is>
          <t>VaR 99% 1d (R$)</t>
        </is>
      </c>
      <c r="B1018" s="59">
        <f>ABS(PERCENTILE(B15:B1014,0.01))*B11</f>
        <v/>
      </c>
      <c r="C1018" s="13" t="n"/>
      <c r="D1018" s="14" t="n"/>
    </row>
    <row r="1019">
      <c r="A1019" s="24" t="inlineStr">
        <is>
          <t>VaR 95% 1d (%)</t>
        </is>
      </c>
      <c r="B1019" s="44">
        <f>ABS(PERCENTILE(B15:B1014,0.05))</f>
        <v/>
      </c>
      <c r="C1019" s="13" t="n"/>
      <c r="D1019" s="14" t="n"/>
    </row>
    <row r="1020">
      <c r="A1020" s="20" t="inlineStr">
        <is>
          <t>VaR 95% 1d (R$)</t>
        </is>
      </c>
      <c r="B1020" s="59">
        <f>ABS(PERCENTILE(B15:B1014,0.05))*B11</f>
        <v/>
      </c>
      <c r="C1020" s="13" t="n"/>
      <c r="D1020" s="14" t="n"/>
    </row>
    <row r="1021">
      <c r="A1021" s="24" t="inlineStr">
        <is>
          <t>CVaR 99% 1d (%)</t>
        </is>
      </c>
      <c r="B1021" s="44">
        <f>ABS(AVERAGEIF(B15:B1014,"&lt;"&amp;PERCENTILE(B15:B1014,0.01)))</f>
        <v/>
      </c>
      <c r="C1021" s="13" t="n"/>
      <c r="D1021" s="14" t="n"/>
    </row>
    <row r="1022">
      <c r="A1022" s="20" t="inlineStr">
        <is>
          <t>CVaR 99% 1d (R$)</t>
        </is>
      </c>
      <c r="B1022" s="59">
        <f>ABS(AVERAGEIF(B15:B1014,"&lt;"&amp;PERCENTILE(B15:B1014,0.01)))*B11</f>
        <v/>
      </c>
      <c r="C1022" s="13" t="n"/>
      <c r="D1022" s="14" t="n"/>
    </row>
    <row r="1023">
      <c r="A1023" s="24" t="inlineStr">
        <is>
          <t>Pior Cenário (%)</t>
        </is>
      </c>
      <c r="B1023" s="44">
        <f>MIN(B15:B1014)</f>
        <v/>
      </c>
      <c r="C1023" s="13" t="n"/>
      <c r="D1023" s="14" t="n"/>
    </row>
    <row r="1024">
      <c r="A1024" s="20" t="inlineStr">
        <is>
          <t>Melhor Cenário (%)</t>
        </is>
      </c>
      <c r="B1024" s="41">
        <f>MAX(B15:B1014)</f>
        <v/>
      </c>
      <c r="C1024" s="13" t="n"/>
      <c r="D1024" s="14" t="n"/>
    </row>
  </sheetData>
  <mergeCells count="14">
    <mergeCell ref="B1021:D1021"/>
    <mergeCell ref="B1024:D1024"/>
    <mergeCell ref="A1:G1"/>
    <mergeCell ref="A13:F13"/>
    <mergeCell ref="B1020:D1020"/>
    <mergeCell ref="I13:K13"/>
    <mergeCell ref="A5:F5"/>
    <mergeCell ref="B1019:D1019"/>
    <mergeCell ref="A2:G4"/>
    <mergeCell ref="B1023:D1023"/>
    <mergeCell ref="B1022:D1022"/>
    <mergeCell ref="A1016:D1016"/>
    <mergeCell ref="B1018:D1018"/>
    <mergeCell ref="B1017:D10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D700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</cols>
  <sheetData>
    <row r="1" ht="50" customHeight="1">
      <c r="A1" s="98" t="inlineStr">
        <is>
          <t>DASHBOARD EXECUTIVO – RESUMO DE RISCO DE MERCADO</t>
        </is>
      </c>
    </row>
    <row r="2">
      <c r="A2" s="99" t="inlineStr">
        <is>
          <t>Ibovespa | Risco de Mercado – Tesouraria | Confidencial</t>
        </is>
      </c>
    </row>
    <row r="3" ht="22" customHeight="1">
      <c r="A3" s="19" t="inlineStr">
        <is>
          <t>INFORMAÇÕES DA POSIÇÃO</t>
        </is>
      </c>
    </row>
    <row r="4" ht="20" customHeight="1">
      <c r="A4" s="20" t="inlineStr">
        <is>
          <t>Data de Referência</t>
        </is>
      </c>
      <c r="B4" s="100">
        <f>TEXTO(HOJE(),"DD/MM/AAAA")</f>
        <v/>
      </c>
      <c r="C4" s="13" t="n"/>
      <c r="D4" s="14" t="n"/>
    </row>
    <row r="5" ht="20" customHeight="1">
      <c r="A5" s="24" t="inlineStr">
        <is>
          <t>Ativo</t>
        </is>
      </c>
      <c r="B5" s="101" t="inlineStr">
        <is>
          <t>Ibovespa (IBOV)</t>
        </is>
      </c>
      <c r="C5" s="13" t="n"/>
      <c r="D5" s="14" t="n"/>
    </row>
    <row r="6" ht="20" customHeight="1">
      <c r="A6" s="20" t="inlineStr">
        <is>
          <t>Nocional (R$)</t>
        </is>
      </c>
      <c r="B6" s="102">
        <f>PARÂMETROS!B24</f>
        <v/>
      </c>
      <c r="C6" s="13" t="n"/>
      <c r="D6" s="14" t="n"/>
    </row>
    <row r="7" ht="20" customHeight="1">
      <c r="A7" s="24" t="inlineStr">
        <is>
          <t>Moeda</t>
        </is>
      </c>
      <c r="B7" s="101">
        <f>PARÂMETROS!B25</f>
        <v/>
      </c>
      <c r="C7" s="13" t="n"/>
      <c r="D7" s="14" t="n"/>
    </row>
    <row r="8" ht="20" customHeight="1">
      <c r="A8" s="20" t="inlineStr">
        <is>
          <t>Índice Inicial (jan/22)</t>
        </is>
      </c>
      <c r="B8" s="103">
        <f>RETORNOS_HIST!B3</f>
        <v/>
      </c>
      <c r="C8" s="13" t="n"/>
      <c r="D8" s="14" t="n"/>
    </row>
    <row r="9" ht="20" customHeight="1">
      <c r="A9" s="24" t="inlineStr">
        <is>
          <t>Índice Atual (dez/23)</t>
        </is>
      </c>
      <c r="B9" s="104">
        <f>RETORNOS_HIST!B522</f>
        <v/>
      </c>
      <c r="C9" s="13" t="n"/>
      <c r="D9" s="14" t="n"/>
    </row>
    <row r="10" ht="20" customHeight="1">
      <c r="A10" s="20" t="inlineStr">
        <is>
          <t>Retorno Total Período</t>
        </is>
      </c>
      <c r="B10" s="51">
        <f>RETORNOS_HIST!B522/RETORNOS_HIST!B3-1</f>
        <v/>
      </c>
      <c r="C10" s="13" t="n"/>
      <c r="D10" s="14" t="n"/>
    </row>
    <row r="12" ht="22" customHeight="1">
      <c r="A12" s="19" t="inlineStr">
        <is>
          <t>TABELA MESTRE DE VaR – CONSOLIDAÇÃO DOS MÉTODOS</t>
        </is>
      </c>
    </row>
    <row r="13" ht="22" customHeight="1">
      <c r="A13" s="105" t="inlineStr">
        <is>
          <t>MÉTODO</t>
        </is>
      </c>
      <c r="B13" s="105" t="inlineStr">
        <is>
          <t>HORIZONTE</t>
        </is>
      </c>
      <c r="C13" s="105" t="inlineStr">
        <is>
          <t>CONF. 95%(%)</t>
        </is>
      </c>
      <c r="D13" s="105" t="inlineStr">
        <is>
          <t>CONF. 95%(R$)</t>
        </is>
      </c>
      <c r="E13" s="105" t="inlineStr">
        <is>
          <t>CONF. 99%(%)</t>
        </is>
      </c>
      <c r="F13" s="105" t="inlineStr">
        <is>
          <t>CONF. 99%(R$)</t>
        </is>
      </c>
      <c r="G13" s="105" t="inlineStr">
        <is>
          <t>CVaR 99%(%)</t>
        </is>
      </c>
      <c r="H13" s="105" t="inlineStr">
        <is>
          <t>CVaR 99%(R$)</t>
        </is>
      </c>
    </row>
    <row r="14" ht="20" customHeight="1">
      <c r="A14" s="20" t="inlineStr">
        <is>
          <t>Histórico</t>
        </is>
      </c>
      <c r="B14" s="58" t="inlineStr">
        <is>
          <t>1 dia</t>
        </is>
      </c>
      <c r="C14" s="51">
        <f>VaR_HISTÓRICO!D16</f>
        <v/>
      </c>
      <c r="D14" s="102">
        <f>VaR_HISTÓRICO!E16</f>
        <v/>
      </c>
      <c r="E14" s="51">
        <f>VaR_HISTÓRICO!D15</f>
        <v/>
      </c>
      <c r="F14" s="102">
        <f>VaR_HISTÓRICO!E15</f>
        <v/>
      </c>
      <c r="G14" s="51">
        <f>VaR_HISTÓRICO!F15</f>
        <v/>
      </c>
      <c r="H14" s="102">
        <f>VaR_HISTÓRICO!G15</f>
        <v/>
      </c>
    </row>
    <row r="15" ht="20" customHeight="1">
      <c r="A15" s="24" t="inlineStr">
        <is>
          <t>Histórico</t>
        </is>
      </c>
      <c r="B15" s="56" t="inlineStr">
        <is>
          <t>10 dias</t>
        </is>
      </c>
      <c r="C15" s="52">
        <f>VaR_HISTÓRICO!D18</f>
        <v/>
      </c>
      <c r="D15" s="54">
        <f>VaR_HISTÓRICO!E18</f>
        <v/>
      </c>
      <c r="E15" s="52">
        <f>VaR_HISTÓRICO!D17</f>
        <v/>
      </c>
      <c r="F15" s="54">
        <f>VaR_HISTÓRICO!E17</f>
        <v/>
      </c>
      <c r="G15" s="52">
        <f>VaR_HISTÓRICO!F17</f>
        <v/>
      </c>
      <c r="H15" s="54">
        <f>VaR_HISTÓRICO!G17</f>
        <v/>
      </c>
    </row>
    <row r="16" ht="20" customHeight="1">
      <c r="A16" s="20" t="inlineStr">
        <is>
          <t>Paramétrico</t>
        </is>
      </c>
      <c r="B16" s="58" t="inlineStr">
        <is>
          <t>1 dia</t>
        </is>
      </c>
      <c r="C16" s="51">
        <f>VaR_PARAMÉTRICO!E20</f>
        <v/>
      </c>
      <c r="D16" s="102">
        <f>VaR_PARAMÉTRICO!F20</f>
        <v/>
      </c>
      <c r="E16" s="51">
        <f>VaR_PARAMÉTRICO!E19</f>
        <v/>
      </c>
      <c r="F16" s="102">
        <f>VaR_PARAMÉTRICO!F19</f>
        <v/>
      </c>
      <c r="G16" s="51">
        <f>VaR_PARAMÉTRICO!E19*1.25</f>
        <v/>
      </c>
      <c r="H16" s="102">
        <f>VaR_PARAMÉTRICO!F19*1.25</f>
        <v/>
      </c>
    </row>
    <row r="17" ht="20" customHeight="1">
      <c r="A17" s="24" t="inlineStr">
        <is>
          <t>Paramétrico</t>
        </is>
      </c>
      <c r="B17" s="56" t="inlineStr">
        <is>
          <t>10 dias</t>
        </is>
      </c>
      <c r="C17" s="52">
        <f>VaR_PARAMÉTRICO!E22</f>
        <v/>
      </c>
      <c r="D17" s="54">
        <f>VaR_PARAMÉTRICO!F22</f>
        <v/>
      </c>
      <c r="E17" s="52">
        <f>VaR_PARAMÉTRICO!E21</f>
        <v/>
      </c>
      <c r="F17" s="54">
        <f>VaR_PARAMÉTRICO!F21</f>
        <v/>
      </c>
      <c r="G17" s="52">
        <f>VaR_PARAMÉTRICO!E21*1.25</f>
        <v/>
      </c>
      <c r="H17" s="54">
        <f>VaR_PARAMÉTRICO!F21*1.25</f>
        <v/>
      </c>
    </row>
    <row r="18" ht="20" customHeight="1">
      <c r="A18" s="20" t="inlineStr">
        <is>
          <t>EWMA</t>
        </is>
      </c>
      <c r="B18" s="58" t="inlineStr">
        <is>
          <t>1 dia</t>
        </is>
      </c>
      <c r="C18" s="51">
        <f>EWMA_VOL!G522*VaR_PARAMÉTRICO!B14/VaR_PARAMÉTRICO!B12</f>
        <v/>
      </c>
      <c r="D18" s="102">
        <f>EWMA_VOL!H522*VaR_PARAMÉTRICO!B14/VaR_PARAMÉTRICO!B12</f>
        <v/>
      </c>
      <c r="E18" s="51">
        <f>EWMA_VOL!G522</f>
        <v/>
      </c>
      <c r="F18" s="102">
        <f>EWMA_VOL!H522</f>
        <v/>
      </c>
      <c r="G18" s="51">
        <f>EWMA_VOL!G522*1.25</f>
        <v/>
      </c>
      <c r="H18" s="102">
        <f>EWMA_VOL!H522*1.25</f>
        <v/>
      </c>
    </row>
    <row r="19" ht="20" customHeight="1">
      <c r="A19" s="24" t="inlineStr">
        <is>
          <t>Monte Carlo</t>
        </is>
      </c>
      <c r="B19" s="56" t="inlineStr">
        <is>
          <t>1 dia</t>
        </is>
      </c>
      <c r="C19" s="52">
        <f>MONTE_CARLO!B1019</f>
        <v/>
      </c>
      <c r="D19" s="54">
        <f>MONTE_CARLO!B1020</f>
        <v/>
      </c>
      <c r="E19" s="52">
        <f>MONTE_CARLO!B1017</f>
        <v/>
      </c>
      <c r="F19" s="54">
        <f>MONTE_CARLO!B1018</f>
        <v/>
      </c>
      <c r="G19" s="52">
        <f>MONTE_CARLO!B1021</f>
        <v/>
      </c>
      <c r="H19" s="54">
        <f>MONTE_CARLO!B1022</f>
        <v/>
      </c>
    </row>
    <row r="21" ht="22" customHeight="1">
      <c r="A21" s="19" t="inlineStr">
        <is>
          <t>ALERTAS E SEMÁFOROS</t>
        </is>
      </c>
    </row>
    <row r="22" ht="22" customHeight="1">
      <c r="A22" s="20" t="inlineStr">
        <is>
          <t>Backtesting</t>
        </is>
      </c>
      <c r="B22" s="106">
        <f>BACKTESTING!C265</f>
        <v/>
      </c>
      <c r="C22" s="13" t="n"/>
      <c r="D22" s="13" t="n"/>
      <c r="E22" s="13" t="n"/>
      <c r="F22" s="13" t="n"/>
      <c r="G22" s="13" t="n"/>
      <c r="H22" s="14" t="n"/>
    </row>
    <row r="23" ht="22" customHeight="1">
      <c r="A23" s="24" t="inlineStr">
        <is>
          <t>Maior VaR 99% 1d</t>
        </is>
      </c>
      <c r="B23" s="107">
        <f>MAX(E14:E19)</f>
        <v/>
      </c>
      <c r="C23" s="13" t="n"/>
      <c r="D23" s="13" t="n"/>
      <c r="E23" s="13" t="n"/>
      <c r="F23" s="13" t="n"/>
      <c r="G23" s="13" t="n"/>
      <c r="H23" s="14" t="n"/>
    </row>
    <row r="24" ht="22" customHeight="1">
      <c r="A24" s="20" t="inlineStr">
        <is>
          <t>VaR/Nocional &gt; 5%?</t>
        </is>
      </c>
      <c r="B24" s="106">
        <f>IF(MAX(E14:E19)&gt;0.05,"⚠ ATENÇÃO – EXCEDE LIMITE","✓ DENTRO DO LIMITE")</f>
        <v/>
      </c>
      <c r="C24" s="13" t="n"/>
      <c r="D24" s="13" t="n"/>
      <c r="E24" s="13" t="n"/>
      <c r="F24" s="13" t="n"/>
      <c r="G24" s="13" t="n"/>
      <c r="H24" s="14" t="n"/>
    </row>
    <row r="25" ht="22" customHeight="1">
      <c r="A25" s="24" t="inlineStr">
        <is>
          <t>Nº Exceções BT</t>
        </is>
      </c>
      <c r="B25" s="108">
        <f>COUNTIF(BACKTESTING!D3:D252,"SIM")</f>
        <v/>
      </c>
      <c r="C25" s="13" t="n"/>
      <c r="D25" s="13" t="n"/>
      <c r="E25" s="13" t="n"/>
      <c r="F25" s="13" t="n"/>
      <c r="G25" s="13" t="n"/>
      <c r="H25" s="14" t="n"/>
    </row>
    <row r="28">
      <c r="A28" s="109" t="inlineStr">
        <is>
          <t>Modelo aprovado pela Diretoria de Risco | Versão 2.1 | Uso interno e confidencial | © 2026 Banco Modelo S.A.</t>
        </is>
      </c>
    </row>
  </sheetData>
  <mergeCells count="17">
    <mergeCell ref="B10:D10"/>
    <mergeCell ref="B22:H22"/>
    <mergeCell ref="B5:D5"/>
    <mergeCell ref="A2:H2"/>
    <mergeCell ref="B8:D8"/>
    <mergeCell ref="B4:D4"/>
    <mergeCell ref="A28:H28"/>
    <mergeCell ref="B9:D9"/>
    <mergeCell ref="B24:H24"/>
    <mergeCell ref="A12:F12"/>
    <mergeCell ref="B25:H25"/>
    <mergeCell ref="A1:H1"/>
    <mergeCell ref="A3:F3"/>
    <mergeCell ref="B7:D7"/>
    <mergeCell ref="A21:F21"/>
    <mergeCell ref="B6:D6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2026-06-03T23:29:25Z</dcterms:created>
  <dcterms:modified xmlns:dcterms="http://purl.org/dc/terms/" xmlns:xsi="http://www.w3.org/2001/XMLSchema-instance" xsi:type="dcterms:W3CDTF">2026-06-03T23:29:32Z</dcterms:modified>
</cp:coreProperties>
</file>